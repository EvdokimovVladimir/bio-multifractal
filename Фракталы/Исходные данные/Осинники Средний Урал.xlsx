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Фракталы\"/>
    </mc:Choice>
  </mc:AlternateContent>
  <xr:revisionPtr revIDLastSave="0" documentId="13_ncr:1_{70638F4F-F6A4-4A02-924B-01917BD24223}" xr6:coauthVersionLast="37" xr6:coauthVersionMax="37" xr10:uidLastSave="{00000000-0000-0000-0000-000000000000}"/>
  <bookViews>
    <workbookView xWindow="0" yWindow="0" windowWidth="21570" windowHeight="7980" xr2:uid="{00000000-000D-0000-FFFF-FFFF00000000}"/>
  </bookViews>
  <sheets>
    <sheet name="исходные" sheetId="11" r:id="rId1"/>
    <sheet name="накопительные" sheetId="1" r:id="rId2"/>
    <sheet name="q = 1" sheetId="3" r:id="rId3"/>
    <sheet name="q = 2" sheetId="4" r:id="rId4"/>
    <sheet name="q = 3" sheetId="5" r:id="rId5"/>
    <sheet name="q = -1" sheetId="6" r:id="rId6"/>
    <sheet name="q = -2" sheetId="7" r:id="rId7"/>
    <sheet name="Итого" sheetId="8" r:id="rId8"/>
    <sheet name="Еще итого" sheetId="10" r:id="rId9"/>
  </sheets>
  <calcPr calcId="179021"/>
</workbook>
</file>

<file path=xl/calcChain.xml><?xml version="1.0" encoding="utf-8"?>
<calcChain xmlns="http://schemas.openxmlformats.org/spreadsheetml/2006/main">
  <c r="C14" i="1" l="1"/>
  <c r="C15" i="1"/>
  <c r="C21" i="1"/>
  <c r="D21" i="1" s="1"/>
  <c r="B3" i="1"/>
  <c r="B12" i="4" s="1"/>
  <c r="B4" i="1"/>
  <c r="C4" i="1" s="1"/>
  <c r="B5" i="1"/>
  <c r="B6" i="1"/>
  <c r="B6" i="6" s="1"/>
  <c r="B7" i="1"/>
  <c r="B7" i="6" s="1"/>
  <c r="B8" i="1"/>
  <c r="B8" i="7" s="1"/>
  <c r="B9" i="1"/>
  <c r="B9" i="7" s="1"/>
  <c r="B10" i="1"/>
  <c r="C10" i="1" s="1"/>
  <c r="D10" i="1" s="1"/>
  <c r="B11" i="1"/>
  <c r="C11" i="1" s="1"/>
  <c r="B12" i="1"/>
  <c r="C12" i="1" s="1"/>
  <c r="B13" i="1"/>
  <c r="C13" i="1" s="1"/>
  <c r="B14" i="1"/>
  <c r="B15" i="1"/>
  <c r="B16" i="1"/>
  <c r="C16" i="1" s="1"/>
  <c r="B17" i="1"/>
  <c r="B17" i="7" s="1"/>
  <c r="B18" i="1"/>
  <c r="B18" i="6" s="1"/>
  <c r="B19" i="1"/>
  <c r="C19" i="1" s="1"/>
  <c r="D19" i="1" s="1"/>
  <c r="B20" i="1"/>
  <c r="B21" i="1"/>
  <c r="B22" i="1"/>
  <c r="C22" i="1" s="1"/>
  <c r="B23" i="1"/>
  <c r="B23" i="7" s="1"/>
  <c r="B24" i="1"/>
  <c r="C24" i="1" s="1"/>
  <c r="B25" i="1"/>
  <c r="C25" i="1" s="1"/>
  <c r="D25" i="1" s="1"/>
  <c r="B26" i="1"/>
  <c r="C26" i="1" s="1"/>
  <c r="D26" i="1" s="1"/>
  <c r="B27" i="1"/>
  <c r="B27" i="6" s="1"/>
  <c r="B28" i="1"/>
  <c r="C28" i="1" s="1"/>
  <c r="B29" i="1"/>
  <c r="C29" i="1" s="1"/>
  <c r="B30" i="1"/>
  <c r="B30" i="6" s="1"/>
  <c r="B31" i="1"/>
  <c r="B31" i="7" s="1"/>
  <c r="B32" i="1"/>
  <c r="B32" i="7" s="1"/>
  <c r="B33" i="1"/>
  <c r="C33" i="1" s="1"/>
  <c r="B34" i="1"/>
  <c r="C34" i="1" s="1"/>
  <c r="B2" i="1"/>
  <c r="A3" i="8"/>
  <c r="A4" i="8"/>
  <c r="A8" i="8"/>
  <c r="A9" i="8"/>
  <c r="A12" i="8"/>
  <c r="A13" i="8"/>
  <c r="A24" i="8"/>
  <c r="A25" i="8"/>
  <c r="A20" i="8"/>
  <c r="A21" i="8"/>
  <c r="A16" i="8"/>
  <c r="A17" i="8"/>
  <c r="B29" i="7"/>
  <c r="B24" i="7"/>
  <c r="B13" i="7"/>
  <c r="B12" i="7"/>
  <c r="B6" i="7"/>
  <c r="B12" i="6"/>
  <c r="B13" i="6"/>
  <c r="B17" i="6"/>
  <c r="B24" i="6"/>
  <c r="B28" i="6"/>
  <c r="B31" i="6"/>
  <c r="B33" i="6"/>
  <c r="D13" i="1" l="1"/>
  <c r="C13" i="6"/>
  <c r="D33" i="1"/>
  <c r="D33" i="6" s="1"/>
  <c r="C33" i="7"/>
  <c r="C33" i="6"/>
  <c r="B20" i="7"/>
  <c r="B33" i="7"/>
  <c r="C7" i="1"/>
  <c r="B7" i="7"/>
  <c r="B34" i="3"/>
  <c r="B34" i="6"/>
  <c r="B24" i="4"/>
  <c r="B22" i="6"/>
  <c r="B10" i="3"/>
  <c r="B37" i="1"/>
  <c r="B3" i="8" s="1"/>
  <c r="C3" i="1"/>
  <c r="D3" i="1" s="1"/>
  <c r="E3" i="1" s="1"/>
  <c r="F3" i="1" s="1"/>
  <c r="B22" i="7"/>
  <c r="C9" i="1"/>
  <c r="C9" i="3" s="1"/>
  <c r="B9" i="6"/>
  <c r="B34" i="7"/>
  <c r="C31" i="1"/>
  <c r="C31" i="4" s="1"/>
  <c r="B4" i="6"/>
  <c r="C27" i="1"/>
  <c r="C27" i="3" s="1"/>
  <c r="D11" i="1"/>
  <c r="E33" i="1"/>
  <c r="E33" i="7" s="1"/>
  <c r="D33" i="7"/>
  <c r="C24" i="6"/>
  <c r="D24" i="1"/>
  <c r="C24" i="7"/>
  <c r="C12" i="7"/>
  <c r="D12" i="1"/>
  <c r="C12" i="6"/>
  <c r="D34" i="1"/>
  <c r="C34" i="6"/>
  <c r="C34" i="7"/>
  <c r="E10" i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E19" i="1"/>
  <c r="F19" i="1" s="1"/>
  <c r="G19" i="1" s="1"/>
  <c r="H19" i="1" s="1"/>
  <c r="E13" i="1"/>
  <c r="D13" i="6"/>
  <c r="D13" i="7"/>
  <c r="D22" i="1"/>
  <c r="C22" i="7"/>
  <c r="C22" i="6"/>
  <c r="E25" i="1"/>
  <c r="F25" i="1" s="1"/>
  <c r="G25" i="1" s="1"/>
  <c r="H25" i="1" s="1"/>
  <c r="I25" i="1" s="1"/>
  <c r="C29" i="7"/>
  <c r="D29" i="1"/>
  <c r="C29" i="6"/>
  <c r="C28" i="7"/>
  <c r="D28" i="1"/>
  <c r="D16" i="1"/>
  <c r="D4" i="1"/>
  <c r="B3" i="5"/>
  <c r="B32" i="6"/>
  <c r="B15" i="6"/>
  <c r="B25" i="7"/>
  <c r="D7" i="1"/>
  <c r="B15" i="5"/>
  <c r="B30" i="7"/>
  <c r="B26" i="7"/>
  <c r="B14" i="7"/>
  <c r="C2" i="1"/>
  <c r="C29" i="4" s="1"/>
  <c r="C23" i="1"/>
  <c r="B29" i="6"/>
  <c r="B18" i="7"/>
  <c r="C32" i="1"/>
  <c r="C32" i="5" s="1"/>
  <c r="C20" i="1"/>
  <c r="B23" i="6"/>
  <c r="C8" i="1"/>
  <c r="B27" i="7"/>
  <c r="C30" i="1"/>
  <c r="D30" i="1" s="1"/>
  <c r="C18" i="1"/>
  <c r="C6" i="1"/>
  <c r="B22" i="3"/>
  <c r="B31" i="5"/>
  <c r="B19" i="5"/>
  <c r="B7" i="5"/>
  <c r="C17" i="1"/>
  <c r="C5" i="1"/>
  <c r="C5" i="5" s="1"/>
  <c r="D15" i="1"/>
  <c r="B8" i="6"/>
  <c r="B28" i="4"/>
  <c r="B16" i="7"/>
  <c r="B2" i="5"/>
  <c r="D14" i="1"/>
  <c r="E26" i="1"/>
  <c r="E21" i="1"/>
  <c r="C20" i="7"/>
  <c r="C22" i="5"/>
  <c r="C32" i="6"/>
  <c r="C28" i="6"/>
  <c r="C4" i="6"/>
  <c r="C13" i="7"/>
  <c r="C4" i="7"/>
  <c r="C30" i="7"/>
  <c r="C5" i="6"/>
  <c r="B27" i="5"/>
  <c r="B19" i="6"/>
  <c r="B21" i="7"/>
  <c r="B33" i="3"/>
  <c r="B21" i="3"/>
  <c r="B9" i="3"/>
  <c r="B7" i="4"/>
  <c r="B19" i="4"/>
  <c r="B31" i="4"/>
  <c r="B10" i="5"/>
  <c r="B22" i="5"/>
  <c r="B34" i="5"/>
  <c r="B4" i="7"/>
  <c r="B28" i="7"/>
  <c r="B38" i="1"/>
  <c r="B4" i="8" s="1"/>
  <c r="B8" i="3"/>
  <c r="B2" i="4"/>
  <c r="B14" i="4"/>
  <c r="B26" i="4"/>
  <c r="B5" i="5"/>
  <c r="B17" i="5"/>
  <c r="B29" i="5"/>
  <c r="B5" i="6"/>
  <c r="B11" i="7"/>
  <c r="B32" i="3"/>
  <c r="B20" i="3"/>
  <c r="B31" i="3"/>
  <c r="B7" i="3"/>
  <c r="B9" i="4"/>
  <c r="B21" i="4"/>
  <c r="B33" i="4"/>
  <c r="B24" i="5"/>
  <c r="B16" i="6"/>
  <c r="B19" i="3"/>
  <c r="B30" i="3"/>
  <c r="B18" i="3"/>
  <c r="B6" i="3"/>
  <c r="B4" i="4"/>
  <c r="B16" i="4"/>
  <c r="B3" i="6"/>
  <c r="B12" i="5"/>
  <c r="B29" i="3"/>
  <c r="B17" i="3"/>
  <c r="B5" i="3"/>
  <c r="B11" i="4"/>
  <c r="B23" i="4"/>
  <c r="B14" i="5"/>
  <c r="B26" i="5"/>
  <c r="B26" i="6"/>
  <c r="B14" i="6"/>
  <c r="B4" i="3"/>
  <c r="B6" i="4"/>
  <c r="B18" i="4"/>
  <c r="B30" i="4"/>
  <c r="B9" i="5"/>
  <c r="B21" i="5"/>
  <c r="B33" i="5"/>
  <c r="B25" i="6"/>
  <c r="B3" i="7"/>
  <c r="B15" i="7"/>
  <c r="B15" i="3"/>
  <c r="B3" i="3"/>
  <c r="B13" i="4"/>
  <c r="B25" i="4"/>
  <c r="B4" i="5"/>
  <c r="B16" i="5"/>
  <c r="B28" i="5"/>
  <c r="B10" i="7"/>
  <c r="B26" i="3"/>
  <c r="B8" i="4"/>
  <c r="B20" i="4"/>
  <c r="B32" i="4"/>
  <c r="B11" i="5"/>
  <c r="B23" i="5"/>
  <c r="B2" i="6"/>
  <c r="B11" i="6"/>
  <c r="B5" i="7"/>
  <c r="B27" i="3"/>
  <c r="B13" i="3"/>
  <c r="B3" i="4"/>
  <c r="B15" i="4"/>
  <c r="B27" i="4"/>
  <c r="B6" i="5"/>
  <c r="B18" i="5"/>
  <c r="B30" i="5"/>
  <c r="B10" i="6"/>
  <c r="B16" i="3"/>
  <c r="B14" i="3"/>
  <c r="B12" i="3"/>
  <c r="B10" i="4"/>
  <c r="B22" i="4"/>
  <c r="B34" i="4"/>
  <c r="B13" i="5"/>
  <c r="B25" i="5"/>
  <c r="B21" i="6"/>
  <c r="B19" i="7"/>
  <c r="B28" i="3"/>
  <c r="B25" i="3"/>
  <c r="B24" i="3"/>
  <c r="B2" i="3"/>
  <c r="B23" i="3"/>
  <c r="B11" i="3"/>
  <c r="B5" i="4"/>
  <c r="B17" i="4"/>
  <c r="B29" i="4"/>
  <c r="B8" i="5"/>
  <c r="B20" i="5"/>
  <c r="B32" i="5"/>
  <c r="B20" i="6"/>
  <c r="B2" i="7"/>
  <c r="C11" i="5" l="1"/>
  <c r="C14" i="5"/>
  <c r="C7" i="3"/>
  <c r="C4" i="5"/>
  <c r="C31" i="7"/>
  <c r="C34" i="3"/>
  <c r="C21" i="6"/>
  <c r="C23" i="5"/>
  <c r="C16" i="4"/>
  <c r="C33" i="3"/>
  <c r="C28" i="4"/>
  <c r="C10" i="3"/>
  <c r="D27" i="1"/>
  <c r="C27" i="7"/>
  <c r="C27" i="6"/>
  <c r="C15" i="6"/>
  <c r="C23" i="4"/>
  <c r="C12" i="3"/>
  <c r="C27" i="5"/>
  <c r="C22" i="3"/>
  <c r="D31" i="1"/>
  <c r="C31" i="6"/>
  <c r="C21" i="5"/>
  <c r="C34" i="5"/>
  <c r="C17" i="5"/>
  <c r="C38" i="1"/>
  <c r="C4" i="8" s="1"/>
  <c r="C7" i="7"/>
  <c r="C7" i="6"/>
  <c r="B36" i="3"/>
  <c r="B37" i="3" s="1"/>
  <c r="C15" i="5"/>
  <c r="C10" i="6"/>
  <c r="D9" i="1"/>
  <c r="C9" i="6"/>
  <c r="C9" i="7"/>
  <c r="C22" i="4"/>
  <c r="C19" i="6"/>
  <c r="C19" i="3"/>
  <c r="C15" i="4"/>
  <c r="C26" i="7"/>
  <c r="C26" i="4"/>
  <c r="C17" i="4"/>
  <c r="C14" i="6"/>
  <c r="C8" i="4"/>
  <c r="C30" i="5"/>
  <c r="C27" i="4"/>
  <c r="C16" i="6"/>
  <c r="C13" i="3"/>
  <c r="C21" i="7"/>
  <c r="C26" i="6"/>
  <c r="C6" i="4"/>
  <c r="C16" i="3"/>
  <c r="C28" i="5"/>
  <c r="C25" i="4"/>
  <c r="D28" i="7"/>
  <c r="D28" i="6"/>
  <c r="C7" i="4"/>
  <c r="C15" i="3"/>
  <c r="C31" i="5"/>
  <c r="C19" i="7"/>
  <c r="C32" i="4"/>
  <c r="C4" i="4"/>
  <c r="C18" i="3"/>
  <c r="C26" i="5"/>
  <c r="C8" i="5"/>
  <c r="C16" i="7"/>
  <c r="C20" i="6"/>
  <c r="D20" i="1"/>
  <c r="E22" i="1"/>
  <c r="D22" i="6"/>
  <c r="D22" i="7"/>
  <c r="E24" i="1"/>
  <c r="D24" i="7"/>
  <c r="D24" i="6"/>
  <c r="C11" i="3"/>
  <c r="C14" i="3"/>
  <c r="C12" i="5"/>
  <c r="C11" i="7"/>
  <c r="C33" i="5"/>
  <c r="C34" i="4"/>
  <c r="C10" i="5"/>
  <c r="B36" i="7"/>
  <c r="B37" i="7" s="1"/>
  <c r="B36" i="5"/>
  <c r="B37" i="5" s="1"/>
  <c r="B36" i="4"/>
  <c r="B37" i="4" s="1"/>
  <c r="C17" i="3"/>
  <c r="C29" i="5"/>
  <c r="C13" i="5"/>
  <c r="C30" i="4"/>
  <c r="C2" i="4"/>
  <c r="C20" i="3"/>
  <c r="C24" i="5"/>
  <c r="C6" i="5"/>
  <c r="C3" i="6"/>
  <c r="C32" i="7"/>
  <c r="D32" i="1"/>
  <c r="E7" i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C21" i="4"/>
  <c r="E15" i="1"/>
  <c r="F15" i="1" s="1"/>
  <c r="G15" i="1" s="1"/>
  <c r="H15" i="1" s="1"/>
  <c r="I15" i="1" s="1"/>
  <c r="J15" i="1" s="1"/>
  <c r="K15" i="1" s="1"/>
  <c r="L15" i="1" s="1"/>
  <c r="D29" i="7"/>
  <c r="E29" i="1"/>
  <c r="D29" i="6"/>
  <c r="B36" i="6"/>
  <c r="C37" i="1"/>
  <c r="C3" i="8" s="1"/>
  <c r="C21" i="3"/>
  <c r="C25" i="5"/>
  <c r="C9" i="5"/>
  <c r="C24" i="4"/>
  <c r="C20" i="4"/>
  <c r="C24" i="3"/>
  <c r="C20" i="5"/>
  <c r="C25" i="6"/>
  <c r="C13" i="4"/>
  <c r="C2" i="7"/>
  <c r="C6" i="7"/>
  <c r="C6" i="6"/>
  <c r="D6" i="1"/>
  <c r="C14" i="7"/>
  <c r="C23" i="3"/>
  <c r="C7" i="5"/>
  <c r="C10" i="4"/>
  <c r="C18" i="4"/>
  <c r="C2" i="3"/>
  <c r="C26" i="3"/>
  <c r="C18" i="5"/>
  <c r="C5" i="7"/>
  <c r="E14" i="1"/>
  <c r="F14" i="1" s="1"/>
  <c r="G14" i="1" s="1"/>
  <c r="H14" i="1" s="1"/>
  <c r="I14" i="1" s="1"/>
  <c r="J14" i="1" s="1"/>
  <c r="K14" i="1" s="1"/>
  <c r="L14" i="1" s="1"/>
  <c r="C15" i="7"/>
  <c r="C18" i="7"/>
  <c r="C18" i="6"/>
  <c r="D18" i="1"/>
  <c r="D22" i="5" s="1"/>
  <c r="C16" i="5"/>
  <c r="F13" i="1"/>
  <c r="G13" i="1" s="1"/>
  <c r="H13" i="1" s="1"/>
  <c r="E13" i="7"/>
  <c r="E13" i="6"/>
  <c r="C4" i="3"/>
  <c r="C28" i="3"/>
  <c r="C3" i="7"/>
  <c r="C3" i="3"/>
  <c r="E30" i="1"/>
  <c r="F30" i="1" s="1"/>
  <c r="G30" i="1" s="1"/>
  <c r="H30" i="1" s="1"/>
  <c r="C10" i="7"/>
  <c r="C29" i="3"/>
  <c r="C19" i="5"/>
  <c r="C3" i="5"/>
  <c r="C14" i="4"/>
  <c r="C6" i="3"/>
  <c r="C30" i="3"/>
  <c r="C23" i="6"/>
  <c r="C2" i="5"/>
  <c r="C25" i="3"/>
  <c r="C23" i="7"/>
  <c r="D23" i="1"/>
  <c r="C5" i="3"/>
  <c r="C31" i="3"/>
  <c r="C11" i="6"/>
  <c r="C2" i="6"/>
  <c r="C12" i="4"/>
  <c r="C8" i="3"/>
  <c r="C32" i="3"/>
  <c r="C19" i="4"/>
  <c r="C33" i="4"/>
  <c r="E28" i="1"/>
  <c r="F28" i="1" s="1"/>
  <c r="C30" i="6"/>
  <c r="C5" i="4"/>
  <c r="D5" i="1"/>
  <c r="D2" i="1"/>
  <c r="C3" i="4"/>
  <c r="C9" i="4"/>
  <c r="C25" i="7"/>
  <c r="D4" i="6"/>
  <c r="E4" i="1"/>
  <c r="D4" i="7"/>
  <c r="E34" i="1"/>
  <c r="D34" i="6"/>
  <c r="D34" i="7"/>
  <c r="F33" i="1"/>
  <c r="E33" i="6"/>
  <c r="C17" i="7"/>
  <c r="C17" i="6"/>
  <c r="D17" i="1"/>
  <c r="E11" i="1"/>
  <c r="F11" i="1" s="1"/>
  <c r="G11" i="1" s="1"/>
  <c r="D11" i="7"/>
  <c r="C8" i="6"/>
  <c r="D8" i="1"/>
  <c r="C8" i="7"/>
  <c r="E16" i="1"/>
  <c r="F16" i="1" s="1"/>
  <c r="G16" i="1" s="1"/>
  <c r="H16" i="1" s="1"/>
  <c r="I16" i="1" s="1"/>
  <c r="E12" i="1"/>
  <c r="D12" i="7"/>
  <c r="D12" i="6"/>
  <c r="C11" i="4"/>
  <c r="G3" i="1"/>
  <c r="J25" i="1"/>
  <c r="F26" i="1"/>
  <c r="I19" i="1"/>
  <c r="I30" i="1"/>
  <c r="M14" i="1"/>
  <c r="F21" i="1"/>
  <c r="E28" i="7"/>
  <c r="E28" i="6"/>
  <c r="R10" i="1"/>
  <c r="I13" i="1"/>
  <c r="B37" i="6"/>
  <c r="B12" i="8"/>
  <c r="B20" i="8"/>
  <c r="D22" i="3" l="1"/>
  <c r="B8" i="8"/>
  <c r="D34" i="3"/>
  <c r="D14" i="6"/>
  <c r="D12" i="4"/>
  <c r="E31" i="1"/>
  <c r="D31" i="7"/>
  <c r="D31" i="6"/>
  <c r="B16" i="8"/>
  <c r="E9" i="1"/>
  <c r="D9" i="7"/>
  <c r="D9" i="6"/>
  <c r="B24" i="8"/>
  <c r="D27" i="7"/>
  <c r="D27" i="6"/>
  <c r="E27" i="1"/>
  <c r="C36" i="4"/>
  <c r="D16" i="4"/>
  <c r="D16" i="6"/>
  <c r="D17" i="4"/>
  <c r="D17" i="5"/>
  <c r="D17" i="6"/>
  <c r="D17" i="3"/>
  <c r="E17" i="1"/>
  <c r="D17" i="7"/>
  <c r="F29" i="1"/>
  <c r="E29" i="6"/>
  <c r="E29" i="7"/>
  <c r="D7" i="5"/>
  <c r="D16" i="3"/>
  <c r="D4" i="3"/>
  <c r="C36" i="5"/>
  <c r="D30" i="4"/>
  <c r="D16" i="7"/>
  <c r="D4" i="4"/>
  <c r="D15" i="4"/>
  <c r="D32" i="4"/>
  <c r="D32" i="7"/>
  <c r="E32" i="1"/>
  <c r="D32" i="5"/>
  <c r="D32" i="6"/>
  <c r="D32" i="3"/>
  <c r="F4" i="1"/>
  <c r="E4" i="6"/>
  <c r="E4" i="7"/>
  <c r="D14" i="5"/>
  <c r="D15" i="5"/>
  <c r="D24" i="3"/>
  <c r="D28" i="5"/>
  <c r="D29" i="3"/>
  <c r="E8" i="1"/>
  <c r="D8" i="5"/>
  <c r="D8" i="4"/>
  <c r="D8" i="7"/>
  <c r="D8" i="3"/>
  <c r="D8" i="6"/>
  <c r="C36" i="7"/>
  <c r="D15" i="3"/>
  <c r="D24" i="5"/>
  <c r="G33" i="1"/>
  <c r="F33" i="7"/>
  <c r="F33" i="6"/>
  <c r="D28" i="3"/>
  <c r="D12" i="3"/>
  <c r="D34" i="4"/>
  <c r="D14" i="4"/>
  <c r="E6" i="1"/>
  <c r="D6" i="7"/>
  <c r="D6" i="5"/>
  <c r="D6" i="6"/>
  <c r="D6" i="4"/>
  <c r="D6" i="3"/>
  <c r="D15" i="6"/>
  <c r="E24" i="6"/>
  <c r="F24" i="1"/>
  <c r="E24" i="7"/>
  <c r="D28" i="4"/>
  <c r="D12" i="5"/>
  <c r="D11" i="6"/>
  <c r="C36" i="6"/>
  <c r="D14" i="3"/>
  <c r="D22" i="4"/>
  <c r="D11" i="3"/>
  <c r="D34" i="5"/>
  <c r="D5" i="6"/>
  <c r="D5" i="7"/>
  <c r="E5" i="1"/>
  <c r="D5" i="5"/>
  <c r="D5" i="3"/>
  <c r="D5" i="4"/>
  <c r="D29" i="5"/>
  <c r="D7" i="6"/>
  <c r="F12" i="1"/>
  <c r="E12" i="6"/>
  <c r="E12" i="7"/>
  <c r="D16" i="5"/>
  <c r="E34" i="6"/>
  <c r="F34" i="1"/>
  <c r="E34" i="7"/>
  <c r="D23" i="4"/>
  <c r="D23" i="3"/>
  <c r="E23" i="1"/>
  <c r="D23" i="6"/>
  <c r="D23" i="5"/>
  <c r="D23" i="7"/>
  <c r="D7" i="3"/>
  <c r="D2" i="5"/>
  <c r="D21" i="3"/>
  <c r="D9" i="5"/>
  <c r="E2" i="1"/>
  <c r="D21" i="6"/>
  <c r="D21" i="5"/>
  <c r="D21" i="4"/>
  <c r="D2" i="3"/>
  <c r="D2" i="4"/>
  <c r="D2" i="7"/>
  <c r="D2" i="6"/>
  <c r="D3" i="6"/>
  <c r="D19" i="5"/>
  <c r="D31" i="5"/>
  <c r="D26" i="7"/>
  <c r="D3" i="4"/>
  <c r="D19" i="4"/>
  <c r="D25" i="7"/>
  <c r="D9" i="4"/>
  <c r="D15" i="7"/>
  <c r="D3" i="3"/>
  <c r="D19" i="7"/>
  <c r="D31" i="3"/>
  <c r="D25" i="4"/>
  <c r="D3" i="5"/>
  <c r="D33" i="3"/>
  <c r="D19" i="3"/>
  <c r="D25" i="6"/>
  <c r="D31" i="4"/>
  <c r="D21" i="7"/>
  <c r="D3" i="7"/>
  <c r="D25" i="3"/>
  <c r="D33" i="4"/>
  <c r="D13" i="5"/>
  <c r="D26" i="3"/>
  <c r="D25" i="5"/>
  <c r="D27" i="3"/>
  <c r="D10" i="4"/>
  <c r="D26" i="5"/>
  <c r="D14" i="7"/>
  <c r="D27" i="4"/>
  <c r="D33" i="5"/>
  <c r="D10" i="5"/>
  <c r="D26" i="4"/>
  <c r="D37" i="1"/>
  <c r="D3" i="8" s="1"/>
  <c r="D10" i="3"/>
  <c r="D13" i="4"/>
  <c r="D26" i="6"/>
  <c r="D10" i="7"/>
  <c r="D19" i="6"/>
  <c r="D27" i="5"/>
  <c r="D10" i="6"/>
  <c r="D13" i="3"/>
  <c r="D9" i="3"/>
  <c r="D38" i="1"/>
  <c r="D4" i="8" s="1"/>
  <c r="D7" i="7"/>
  <c r="D11" i="4"/>
  <c r="D30" i="3"/>
  <c r="D29" i="4"/>
  <c r="D11" i="5"/>
  <c r="D4" i="5"/>
  <c r="D30" i="6"/>
  <c r="E18" i="1"/>
  <c r="D18" i="7"/>
  <c r="D18" i="5"/>
  <c r="D18" i="4"/>
  <c r="D18" i="3"/>
  <c r="D18" i="6"/>
  <c r="C36" i="3"/>
  <c r="D7" i="4"/>
  <c r="F22" i="1"/>
  <c r="E22" i="6"/>
  <c r="E22" i="7"/>
  <c r="D30" i="5"/>
  <c r="D24" i="4"/>
  <c r="D20" i="6"/>
  <c r="D20" i="7"/>
  <c r="D20" i="5"/>
  <c r="D20" i="3"/>
  <c r="E20" i="1"/>
  <c r="D20" i="4"/>
  <c r="D30" i="7"/>
  <c r="J30" i="1"/>
  <c r="N14" i="1"/>
  <c r="J19" i="1"/>
  <c r="H3" i="1"/>
  <c r="G26" i="1"/>
  <c r="Q7" i="1"/>
  <c r="K25" i="1"/>
  <c r="G21" i="1"/>
  <c r="S10" i="1"/>
  <c r="M15" i="1"/>
  <c r="G28" i="1"/>
  <c r="F28" i="7"/>
  <c r="F28" i="6"/>
  <c r="J13" i="1"/>
  <c r="J16" i="1"/>
  <c r="H11" i="1"/>
  <c r="B9" i="8"/>
  <c r="B10" i="8" s="1"/>
  <c r="B2" i="10"/>
  <c r="B10" i="10" s="1"/>
  <c r="B3" i="10"/>
  <c r="B11" i="10" s="1"/>
  <c r="B13" i="8"/>
  <c r="B14" i="8" s="1"/>
  <c r="B25" i="8"/>
  <c r="B26" i="8" s="1"/>
  <c r="B6" i="10"/>
  <c r="B13" i="10" s="1"/>
  <c r="B21" i="8"/>
  <c r="B22" i="8" s="1"/>
  <c r="B5" i="10"/>
  <c r="B12" i="10" s="1"/>
  <c r="B4" i="10"/>
  <c r="B17" i="8"/>
  <c r="E34" i="4" l="1"/>
  <c r="D36" i="7"/>
  <c r="D37" i="7" s="1"/>
  <c r="E30" i="4"/>
  <c r="F9" i="1"/>
  <c r="E9" i="7"/>
  <c r="E9" i="6"/>
  <c r="E31" i="6"/>
  <c r="F31" i="1"/>
  <c r="G31" i="1" s="1"/>
  <c r="H31" i="1" s="1"/>
  <c r="I31" i="1" s="1"/>
  <c r="J31" i="1" s="1"/>
  <c r="K31" i="1" s="1"/>
  <c r="E31" i="7"/>
  <c r="E27" i="7"/>
  <c r="F27" i="1"/>
  <c r="G27" i="1" s="1"/>
  <c r="H27" i="1" s="1"/>
  <c r="I27" i="1" s="1"/>
  <c r="J27" i="1" s="1"/>
  <c r="E27" i="6"/>
  <c r="D36" i="6"/>
  <c r="G12" i="1"/>
  <c r="H12" i="1" s="1"/>
  <c r="I12" i="1" s="1"/>
  <c r="J12" i="1" s="1"/>
  <c r="K12" i="1" s="1"/>
  <c r="L12" i="1" s="1"/>
  <c r="M12" i="1" s="1"/>
  <c r="E12" i="3"/>
  <c r="D36" i="4"/>
  <c r="C12" i="8"/>
  <c r="C37" i="6"/>
  <c r="D36" i="3"/>
  <c r="F23" i="1"/>
  <c r="E23" i="5"/>
  <c r="E23" i="3"/>
  <c r="E23" i="7"/>
  <c r="E23" i="6"/>
  <c r="E23" i="4"/>
  <c r="F6" i="1"/>
  <c r="E6" i="6"/>
  <c r="E6" i="7"/>
  <c r="E6" i="3"/>
  <c r="E6" i="5"/>
  <c r="E6" i="4"/>
  <c r="C8" i="8"/>
  <c r="C37" i="7"/>
  <c r="F17" i="1"/>
  <c r="E17" i="6"/>
  <c r="E17" i="7"/>
  <c r="E17" i="5"/>
  <c r="E17" i="3"/>
  <c r="E17" i="4"/>
  <c r="E14" i="3"/>
  <c r="C37" i="3"/>
  <c r="C16" i="8"/>
  <c r="G33" i="6"/>
  <c r="H33" i="1"/>
  <c r="G33" i="7"/>
  <c r="C20" i="8"/>
  <c r="C37" i="4"/>
  <c r="G4" i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F4" i="6"/>
  <c r="F4" i="7"/>
  <c r="C24" i="8"/>
  <c r="C37" i="5"/>
  <c r="F18" i="1"/>
  <c r="E18" i="3"/>
  <c r="E18" i="5"/>
  <c r="E18" i="6"/>
  <c r="E18" i="4"/>
  <c r="E18" i="7"/>
  <c r="F2" i="1"/>
  <c r="E38" i="1"/>
  <c r="E4" i="8" s="1"/>
  <c r="E37" i="1"/>
  <c r="E3" i="8" s="1"/>
  <c r="E13" i="4"/>
  <c r="E30" i="5"/>
  <c r="E2" i="6"/>
  <c r="E10" i="6"/>
  <c r="E21" i="6"/>
  <c r="E33" i="5"/>
  <c r="E13" i="5"/>
  <c r="E2" i="5"/>
  <c r="E24" i="3"/>
  <c r="E10" i="3"/>
  <c r="E25" i="6"/>
  <c r="E7" i="6"/>
  <c r="E27" i="5"/>
  <c r="E7" i="5"/>
  <c r="E7" i="3"/>
  <c r="E16" i="3"/>
  <c r="E15" i="5"/>
  <c r="E15" i="4"/>
  <c r="E25" i="7"/>
  <c r="E31" i="5"/>
  <c r="E4" i="5"/>
  <c r="E16" i="7"/>
  <c r="E25" i="4"/>
  <c r="E15" i="7"/>
  <c r="E16" i="6"/>
  <c r="E3" i="7"/>
  <c r="E19" i="5"/>
  <c r="E33" i="4"/>
  <c r="E28" i="5"/>
  <c r="E10" i="4"/>
  <c r="E19" i="3"/>
  <c r="E22" i="5"/>
  <c r="E4" i="4"/>
  <c r="E26" i="4"/>
  <c r="E21" i="5"/>
  <c r="E11" i="5"/>
  <c r="E29" i="5"/>
  <c r="E4" i="3"/>
  <c r="E22" i="4"/>
  <c r="E7" i="4"/>
  <c r="E11" i="4"/>
  <c r="E9" i="3"/>
  <c r="E26" i="5"/>
  <c r="E19" i="4"/>
  <c r="E24" i="5"/>
  <c r="E3" i="3"/>
  <c r="E25" i="5"/>
  <c r="E27" i="4"/>
  <c r="E33" i="3"/>
  <c r="E19" i="7"/>
  <c r="E3" i="4"/>
  <c r="E28" i="3"/>
  <c r="E26" i="3"/>
  <c r="E34" i="5"/>
  <c r="E10" i="5"/>
  <c r="E3" i="5"/>
  <c r="E29" i="3"/>
  <c r="E12" i="5"/>
  <c r="E28" i="4"/>
  <c r="E16" i="5"/>
  <c r="E13" i="3"/>
  <c r="E27" i="3"/>
  <c r="E3" i="6"/>
  <c r="E9" i="5"/>
  <c r="E29" i="4"/>
  <c r="E31" i="4"/>
  <c r="E15" i="3"/>
  <c r="E10" i="7"/>
  <c r="E15" i="6"/>
  <c r="E21" i="4"/>
  <c r="E26" i="6"/>
  <c r="E34" i="3"/>
  <c r="E14" i="7"/>
  <c r="E9" i="4"/>
  <c r="E30" i="3"/>
  <c r="E22" i="3"/>
  <c r="E25" i="3"/>
  <c r="E2" i="7"/>
  <c r="E19" i="6"/>
  <c r="E24" i="4"/>
  <c r="E31" i="3"/>
  <c r="E7" i="7"/>
  <c r="E21" i="7"/>
  <c r="E30" i="6"/>
  <c r="E2" i="3"/>
  <c r="E2" i="4"/>
  <c r="E30" i="7"/>
  <c r="E26" i="7"/>
  <c r="E21" i="3"/>
  <c r="E16" i="4"/>
  <c r="F34" i="6"/>
  <c r="F34" i="7"/>
  <c r="G34" i="1"/>
  <c r="F5" i="1"/>
  <c r="E5" i="4"/>
  <c r="E5" i="3"/>
  <c r="E5" i="7"/>
  <c r="E5" i="6"/>
  <c r="E5" i="5"/>
  <c r="G24" i="1"/>
  <c r="H24" i="1" s="1"/>
  <c r="I24" i="1" s="1"/>
  <c r="E14" i="5"/>
  <c r="E14" i="6"/>
  <c r="F8" i="1"/>
  <c r="E8" i="7"/>
  <c r="E8" i="6"/>
  <c r="E8" i="5"/>
  <c r="E8" i="4"/>
  <c r="E8" i="3"/>
  <c r="E14" i="4"/>
  <c r="E11" i="6"/>
  <c r="D36" i="5"/>
  <c r="E11" i="3"/>
  <c r="F32" i="1"/>
  <c r="E32" i="6"/>
  <c r="E32" i="7"/>
  <c r="E32" i="4"/>
  <c r="E32" i="5"/>
  <c r="E32" i="3"/>
  <c r="E12" i="4"/>
  <c r="G22" i="1"/>
  <c r="H22" i="1" s="1"/>
  <c r="I22" i="1" s="1"/>
  <c r="F20" i="1"/>
  <c r="E20" i="4"/>
  <c r="E20" i="6"/>
  <c r="E20" i="7"/>
  <c r="E20" i="5"/>
  <c r="E20" i="3"/>
  <c r="G29" i="1"/>
  <c r="H29" i="1" s="1"/>
  <c r="I29" i="1" s="1"/>
  <c r="J29" i="1" s="1"/>
  <c r="K29" i="1" s="1"/>
  <c r="E11" i="7"/>
  <c r="I11" i="1"/>
  <c r="H28" i="1"/>
  <c r="N12" i="1"/>
  <c r="K30" i="1"/>
  <c r="L25" i="1"/>
  <c r="R7" i="1"/>
  <c r="I3" i="1"/>
  <c r="T10" i="1"/>
  <c r="K13" i="1"/>
  <c r="K27" i="1"/>
  <c r="K19" i="1"/>
  <c r="H26" i="1"/>
  <c r="O14" i="1"/>
  <c r="J22" i="1"/>
  <c r="N15" i="1"/>
  <c r="H21" i="1"/>
  <c r="K16" i="1"/>
  <c r="D8" i="8" l="1"/>
  <c r="G9" i="1"/>
  <c r="F9" i="6"/>
  <c r="F9" i="7"/>
  <c r="F24" i="5"/>
  <c r="I33" i="1"/>
  <c r="H33" i="7"/>
  <c r="H33" i="6"/>
  <c r="F29" i="6"/>
  <c r="C25" i="8"/>
  <c r="C26" i="8" s="1"/>
  <c r="C6" i="10"/>
  <c r="C13" i="10" s="1"/>
  <c r="C3" i="10"/>
  <c r="C11" i="10" s="1"/>
  <c r="C13" i="8"/>
  <c r="C14" i="8" s="1"/>
  <c r="G18" i="1"/>
  <c r="F18" i="5"/>
  <c r="F18" i="4"/>
  <c r="F18" i="3"/>
  <c r="F18" i="7"/>
  <c r="F18" i="6"/>
  <c r="E36" i="6"/>
  <c r="F22" i="3"/>
  <c r="G8" i="1"/>
  <c r="F8" i="6"/>
  <c r="F8" i="7"/>
  <c r="F8" i="4"/>
  <c r="F8" i="3"/>
  <c r="F8" i="5"/>
  <c r="G5" i="1"/>
  <c r="F5" i="3"/>
  <c r="F5" i="5"/>
  <c r="F5" i="4"/>
  <c r="F5" i="7"/>
  <c r="F5" i="6"/>
  <c r="G34" i="7"/>
  <c r="H34" i="1"/>
  <c r="G34" i="6"/>
  <c r="D20" i="8"/>
  <c r="D37" i="4"/>
  <c r="F12" i="3"/>
  <c r="F29" i="5"/>
  <c r="F12" i="6"/>
  <c r="F24" i="4"/>
  <c r="E36" i="5"/>
  <c r="F12" i="5"/>
  <c r="F22" i="5"/>
  <c r="D37" i="5"/>
  <c r="D24" i="8"/>
  <c r="F24" i="3"/>
  <c r="C21" i="8"/>
  <c r="C22" i="8" s="1"/>
  <c r="C5" i="10"/>
  <c r="C12" i="10" s="1"/>
  <c r="G6" i="1"/>
  <c r="F6" i="5"/>
  <c r="F6" i="4"/>
  <c r="F6" i="6"/>
  <c r="F6" i="7"/>
  <c r="F6" i="3"/>
  <c r="E36" i="7"/>
  <c r="G17" i="1"/>
  <c r="F17" i="7"/>
  <c r="F17" i="4"/>
  <c r="F17" i="3"/>
  <c r="F17" i="6"/>
  <c r="F17" i="5"/>
  <c r="D37" i="6"/>
  <c r="D12" i="8"/>
  <c r="G2" i="1"/>
  <c r="F3" i="4"/>
  <c r="F19" i="6"/>
  <c r="F27" i="3"/>
  <c r="F10" i="6"/>
  <c r="F15" i="5"/>
  <c r="F37" i="1"/>
  <c r="F3" i="8" s="1"/>
  <c r="F13" i="4"/>
  <c r="F21" i="6"/>
  <c r="F7" i="7"/>
  <c r="F7" i="4"/>
  <c r="F19" i="5"/>
  <c r="F19" i="4"/>
  <c r="F15" i="6"/>
  <c r="F16" i="6"/>
  <c r="F31" i="3"/>
  <c r="F21" i="3"/>
  <c r="F21" i="4"/>
  <c r="F19" i="3"/>
  <c r="F16" i="7"/>
  <c r="F14" i="6"/>
  <c r="F14" i="4"/>
  <c r="F27" i="5"/>
  <c r="F31" i="5"/>
  <c r="F38" i="1"/>
  <c r="F4" i="8" s="1"/>
  <c r="F13" i="6"/>
  <c r="F28" i="5"/>
  <c r="F2" i="4"/>
  <c r="F11" i="6"/>
  <c r="F10" i="7"/>
  <c r="F3" i="3"/>
  <c r="F24" i="7"/>
  <c r="F10" i="5"/>
  <c r="F2" i="5"/>
  <c r="F4" i="4"/>
  <c r="F15" i="7"/>
  <c r="F2" i="3"/>
  <c r="F28" i="4"/>
  <c r="F11" i="5"/>
  <c r="F14" i="3"/>
  <c r="F27" i="4"/>
  <c r="F15" i="4"/>
  <c r="F28" i="3"/>
  <c r="F4" i="3"/>
  <c r="F12" i="4"/>
  <c r="F7" i="6"/>
  <c r="F26" i="7"/>
  <c r="F31" i="7"/>
  <c r="F14" i="5"/>
  <c r="F7" i="3"/>
  <c r="F3" i="7"/>
  <c r="F9" i="4"/>
  <c r="F26" i="5"/>
  <c r="F9" i="5"/>
  <c r="F13" i="5"/>
  <c r="F27" i="7"/>
  <c r="F11" i="7"/>
  <c r="F31" i="4"/>
  <c r="F26" i="6"/>
  <c r="F2" i="6"/>
  <c r="F30" i="7"/>
  <c r="F16" i="5"/>
  <c r="F16" i="4"/>
  <c r="F30" i="5"/>
  <c r="F29" i="3"/>
  <c r="F21" i="7"/>
  <c r="F25" i="5"/>
  <c r="F4" i="5"/>
  <c r="F33" i="5"/>
  <c r="F31" i="6"/>
  <c r="F11" i="3"/>
  <c r="F30" i="6"/>
  <c r="F21" i="5"/>
  <c r="F13" i="7"/>
  <c r="F7" i="5"/>
  <c r="F33" i="4"/>
  <c r="F16" i="3"/>
  <c r="F25" i="3"/>
  <c r="F30" i="3"/>
  <c r="F10" i="3"/>
  <c r="F2" i="7"/>
  <c r="F26" i="4"/>
  <c r="F25" i="7"/>
  <c r="F25" i="4"/>
  <c r="F27" i="6"/>
  <c r="F19" i="7"/>
  <c r="F26" i="3"/>
  <c r="F3" i="6"/>
  <c r="F11" i="4"/>
  <c r="F9" i="3"/>
  <c r="F15" i="3"/>
  <c r="F14" i="7"/>
  <c r="F25" i="6"/>
  <c r="F10" i="4"/>
  <c r="F12" i="7"/>
  <c r="F30" i="4"/>
  <c r="F13" i="3"/>
  <c r="F24" i="6"/>
  <c r="F34" i="4"/>
  <c r="F3" i="5"/>
  <c r="F33" i="3"/>
  <c r="F32" i="6"/>
  <c r="F32" i="7"/>
  <c r="G32" i="1"/>
  <c r="F32" i="3"/>
  <c r="F32" i="4"/>
  <c r="F32" i="5"/>
  <c r="G20" i="1"/>
  <c r="F20" i="4"/>
  <c r="F20" i="5"/>
  <c r="F20" i="6"/>
  <c r="F20" i="3"/>
  <c r="F20" i="7"/>
  <c r="F34" i="5"/>
  <c r="C9" i="8"/>
  <c r="C10" i="8" s="1"/>
  <c r="C2" i="10"/>
  <c r="C10" i="10" s="1"/>
  <c r="F22" i="7"/>
  <c r="F22" i="6"/>
  <c r="G23" i="1"/>
  <c r="F23" i="6"/>
  <c r="F23" i="3"/>
  <c r="F23" i="4"/>
  <c r="F23" i="7"/>
  <c r="F23" i="5"/>
  <c r="D2" i="10"/>
  <c r="D10" i="10" s="1"/>
  <c r="D9" i="8"/>
  <c r="D10" i="8" s="1"/>
  <c r="D37" i="3"/>
  <c r="D16" i="8"/>
  <c r="E36" i="4"/>
  <c r="F29" i="7"/>
  <c r="F29" i="4"/>
  <c r="E36" i="3"/>
  <c r="C4" i="10"/>
  <c r="C17" i="8"/>
  <c r="F22" i="4"/>
  <c r="F34" i="3"/>
  <c r="M25" i="1"/>
  <c r="O15" i="1"/>
  <c r="J3" i="1"/>
  <c r="L16" i="1"/>
  <c r="L13" i="1"/>
  <c r="K22" i="1"/>
  <c r="I26" i="1"/>
  <c r="S7" i="1"/>
  <c r="O12" i="1"/>
  <c r="I21" i="1"/>
  <c r="L19" i="1"/>
  <c r="L27" i="1"/>
  <c r="J11" i="1"/>
  <c r="L31" i="1"/>
  <c r="J24" i="1"/>
  <c r="I28" i="1"/>
  <c r="L30" i="1"/>
  <c r="P14" i="1"/>
  <c r="L29" i="1"/>
  <c r="G34" i="5" l="1"/>
  <c r="H9" i="1"/>
  <c r="G9" i="6"/>
  <c r="G9" i="7"/>
  <c r="H17" i="1"/>
  <c r="G17" i="3"/>
  <c r="G17" i="4"/>
  <c r="G17" i="5"/>
  <c r="G17" i="7"/>
  <c r="G17" i="6"/>
  <c r="F36" i="4"/>
  <c r="E8" i="8"/>
  <c r="E37" i="7"/>
  <c r="D25" i="8"/>
  <c r="D26" i="8" s="1"/>
  <c r="D6" i="10"/>
  <c r="D13" i="10" s="1"/>
  <c r="G32" i="7"/>
  <c r="H32" i="1"/>
  <c r="G32" i="6"/>
  <c r="G32" i="3"/>
  <c r="G32" i="5"/>
  <c r="G32" i="4"/>
  <c r="H18" i="1"/>
  <c r="G18" i="3"/>
  <c r="G18" i="4"/>
  <c r="G18" i="7"/>
  <c r="G18" i="6"/>
  <c r="G18" i="5"/>
  <c r="E37" i="3"/>
  <c r="E16" i="8"/>
  <c r="F36" i="3"/>
  <c r="H2" i="1"/>
  <c r="G11" i="5"/>
  <c r="G11" i="3"/>
  <c r="G3" i="5"/>
  <c r="G19" i="7"/>
  <c r="G13" i="7"/>
  <c r="G27" i="7"/>
  <c r="G11" i="7"/>
  <c r="G3" i="4"/>
  <c r="G21" i="4"/>
  <c r="G12" i="3"/>
  <c r="G14" i="7"/>
  <c r="G10" i="6"/>
  <c r="G31" i="4"/>
  <c r="G10" i="3"/>
  <c r="G2" i="7"/>
  <c r="G3" i="3"/>
  <c r="G3" i="7"/>
  <c r="G12" i="5"/>
  <c r="G12" i="7"/>
  <c r="G30" i="3"/>
  <c r="G13" i="4"/>
  <c r="G30" i="4"/>
  <c r="G14" i="5"/>
  <c r="G19" i="4"/>
  <c r="G14" i="3"/>
  <c r="G15" i="7"/>
  <c r="G22" i="7"/>
  <c r="G24" i="7"/>
  <c r="G26" i="7"/>
  <c r="G4" i="7"/>
  <c r="G16" i="3"/>
  <c r="G15" i="3"/>
  <c r="G25" i="4"/>
  <c r="G37" i="1"/>
  <c r="G3" i="8" s="1"/>
  <c r="G11" i="4"/>
  <c r="G29" i="6"/>
  <c r="G30" i="7"/>
  <c r="G27" i="4"/>
  <c r="G28" i="4"/>
  <c r="G26" i="3"/>
  <c r="G19" i="5"/>
  <c r="G16" i="5"/>
  <c r="G22" i="5"/>
  <c r="G7" i="5"/>
  <c r="G15" i="5"/>
  <c r="G22" i="3"/>
  <c r="G26" i="6"/>
  <c r="G14" i="6"/>
  <c r="G19" i="6"/>
  <c r="G10" i="5"/>
  <c r="G12" i="4"/>
  <c r="G15" i="6"/>
  <c r="G12" i="6"/>
  <c r="G30" i="5"/>
  <c r="G15" i="4"/>
  <c r="G29" i="5"/>
  <c r="G31" i="5"/>
  <c r="G10" i="7"/>
  <c r="G2" i="3"/>
  <c r="G28" i="5"/>
  <c r="G22" i="4"/>
  <c r="G31" i="7"/>
  <c r="G26" i="5"/>
  <c r="G2" i="6"/>
  <c r="G4" i="3"/>
  <c r="G7" i="6"/>
  <c r="G19" i="3"/>
  <c r="G13" i="6"/>
  <c r="G22" i="6"/>
  <c r="G4" i="5"/>
  <c r="G28" i="7"/>
  <c r="G26" i="4"/>
  <c r="G33" i="5"/>
  <c r="G30" i="6"/>
  <c r="G38" i="1"/>
  <c r="G4" i="8" s="1"/>
  <c r="G27" i="6"/>
  <c r="G9" i="3"/>
  <c r="G9" i="4"/>
  <c r="G4" i="6"/>
  <c r="G24" i="5"/>
  <c r="G10" i="4"/>
  <c r="G28" i="6"/>
  <c r="G24" i="3"/>
  <c r="G21" i="7"/>
  <c r="G16" i="4"/>
  <c r="G7" i="4"/>
  <c r="G25" i="7"/>
  <c r="G27" i="5"/>
  <c r="G33" i="4"/>
  <c r="G9" i="5"/>
  <c r="G25" i="6"/>
  <c r="G11" i="6"/>
  <c r="G21" i="6"/>
  <c r="G2" i="5"/>
  <c r="G25" i="3"/>
  <c r="G21" i="3"/>
  <c r="G13" i="5"/>
  <c r="G16" i="7"/>
  <c r="G29" i="7"/>
  <c r="G33" i="3"/>
  <c r="G28" i="3"/>
  <c r="G21" i="5"/>
  <c r="G7" i="3"/>
  <c r="G13" i="3"/>
  <c r="G14" i="4"/>
  <c r="G31" i="6"/>
  <c r="G31" i="3"/>
  <c r="G16" i="6"/>
  <c r="G25" i="5"/>
  <c r="G7" i="7"/>
  <c r="G24" i="6"/>
  <c r="G3" i="6"/>
  <c r="G27" i="3"/>
  <c r="G2" i="4"/>
  <c r="G24" i="4"/>
  <c r="G34" i="3"/>
  <c r="G4" i="4"/>
  <c r="E24" i="8"/>
  <c r="E37" i="5"/>
  <c r="H8" i="1"/>
  <c r="G8" i="7"/>
  <c r="G8" i="6"/>
  <c r="G8" i="4"/>
  <c r="G8" i="3"/>
  <c r="G8" i="5"/>
  <c r="G29" i="4"/>
  <c r="H20" i="1"/>
  <c r="G20" i="4"/>
  <c r="G20" i="5"/>
  <c r="G20" i="7"/>
  <c r="G20" i="3"/>
  <c r="G20" i="6"/>
  <c r="F36" i="6"/>
  <c r="H34" i="6"/>
  <c r="H34" i="7"/>
  <c r="I34" i="1"/>
  <c r="H23" i="1"/>
  <c r="G23" i="4"/>
  <c r="G23" i="3"/>
  <c r="G23" i="7"/>
  <c r="G23" i="5"/>
  <c r="G23" i="6"/>
  <c r="D3" i="10"/>
  <c r="D11" i="10" s="1"/>
  <c r="D13" i="8"/>
  <c r="D14" i="8" s="1"/>
  <c r="G29" i="3"/>
  <c r="F36" i="5"/>
  <c r="E37" i="4"/>
  <c r="E20" i="8"/>
  <c r="F36" i="7"/>
  <c r="H6" i="1"/>
  <c r="G6" i="6"/>
  <c r="G6" i="4"/>
  <c r="G6" i="3"/>
  <c r="G6" i="7"/>
  <c r="G6" i="5"/>
  <c r="G34" i="4"/>
  <c r="E37" i="6"/>
  <c r="E12" i="8"/>
  <c r="D4" i="10"/>
  <c r="D17" i="8"/>
  <c r="H5" i="1"/>
  <c r="G5" i="5"/>
  <c r="G5" i="7"/>
  <c r="G5" i="4"/>
  <c r="G5" i="6"/>
  <c r="G5" i="3"/>
  <c r="D21" i="8"/>
  <c r="D22" i="8" s="1"/>
  <c r="D5" i="10"/>
  <c r="D12" i="10" s="1"/>
  <c r="I33" i="7"/>
  <c r="I33" i="6"/>
  <c r="J33" i="1"/>
  <c r="L22" i="1"/>
  <c r="M29" i="1"/>
  <c r="M30" i="1"/>
  <c r="K3" i="1"/>
  <c r="J28" i="1"/>
  <c r="K11" i="1"/>
  <c r="M19" i="1"/>
  <c r="M27" i="1"/>
  <c r="M31" i="1"/>
  <c r="J26" i="1"/>
  <c r="M13" i="1"/>
  <c r="N25" i="1"/>
  <c r="Q14" i="1"/>
  <c r="P12" i="1"/>
  <c r="J21" i="1"/>
  <c r="T7" i="1"/>
  <c r="M16" i="1"/>
  <c r="K24" i="1"/>
  <c r="P15" i="1"/>
  <c r="H34" i="3" l="1"/>
  <c r="I9" i="1"/>
  <c r="H9" i="7"/>
  <c r="H9" i="6"/>
  <c r="I34" i="5"/>
  <c r="G36" i="6"/>
  <c r="I5" i="1"/>
  <c r="H5" i="7"/>
  <c r="H5" i="3"/>
  <c r="H5" i="6"/>
  <c r="H5" i="5"/>
  <c r="H5" i="4"/>
  <c r="I6" i="1"/>
  <c r="H6" i="4"/>
  <c r="H6" i="6"/>
  <c r="H6" i="3"/>
  <c r="H6" i="7"/>
  <c r="H6" i="5"/>
  <c r="I20" i="1"/>
  <c r="H20" i="4"/>
  <c r="H20" i="6"/>
  <c r="H20" i="5"/>
  <c r="H20" i="7"/>
  <c r="H20" i="3"/>
  <c r="F37" i="7"/>
  <c r="F8" i="8"/>
  <c r="G36" i="4"/>
  <c r="J33" i="7"/>
  <c r="K33" i="1"/>
  <c r="J33" i="6"/>
  <c r="I23" i="1"/>
  <c r="H23" i="4"/>
  <c r="H23" i="5"/>
  <c r="H23" i="7"/>
  <c r="H23" i="3"/>
  <c r="H23" i="6"/>
  <c r="E9" i="8"/>
  <c r="E10" i="8" s="1"/>
  <c r="E2" i="10"/>
  <c r="E10" i="10" s="1"/>
  <c r="H34" i="4"/>
  <c r="E5" i="10"/>
  <c r="E12" i="10" s="1"/>
  <c r="E21" i="8"/>
  <c r="E22" i="8" s="1"/>
  <c r="J34" i="1"/>
  <c r="I34" i="7"/>
  <c r="I34" i="6"/>
  <c r="G36" i="7"/>
  <c r="I18" i="1"/>
  <c r="H18" i="3"/>
  <c r="H18" i="5"/>
  <c r="H18" i="4"/>
  <c r="H18" i="6"/>
  <c r="H18" i="7"/>
  <c r="F37" i="4"/>
  <c r="F20" i="8"/>
  <c r="E13" i="8"/>
  <c r="E14" i="8" s="1"/>
  <c r="E3" i="10"/>
  <c r="E11" i="10" s="1"/>
  <c r="F24" i="8"/>
  <c r="F37" i="5"/>
  <c r="F37" i="6"/>
  <c r="F12" i="8"/>
  <c r="I2" i="1"/>
  <c r="H14" i="6"/>
  <c r="H25" i="5"/>
  <c r="H10" i="4"/>
  <c r="H7" i="3"/>
  <c r="H22" i="3"/>
  <c r="H9" i="5"/>
  <c r="H31" i="4"/>
  <c r="H9" i="3"/>
  <c r="H14" i="7"/>
  <c r="H24" i="4"/>
  <c r="H2" i="7"/>
  <c r="H22" i="7"/>
  <c r="H7" i="4"/>
  <c r="H12" i="4"/>
  <c r="H19" i="5"/>
  <c r="H31" i="3"/>
  <c r="H27" i="5"/>
  <c r="H14" i="3"/>
  <c r="H9" i="4"/>
  <c r="H16" i="6"/>
  <c r="H27" i="6"/>
  <c r="H14" i="5"/>
  <c r="H22" i="6"/>
  <c r="H12" i="7"/>
  <c r="H13" i="6"/>
  <c r="H15" i="6"/>
  <c r="H4" i="5"/>
  <c r="H25" i="6"/>
  <c r="H4" i="7"/>
  <c r="H13" i="3"/>
  <c r="H15" i="4"/>
  <c r="H4" i="4"/>
  <c r="H7" i="6"/>
  <c r="H15" i="7"/>
  <c r="H13" i="4"/>
  <c r="H12" i="3"/>
  <c r="H16" i="5"/>
  <c r="H29" i="4"/>
  <c r="H33" i="4"/>
  <c r="H31" i="5"/>
  <c r="H11" i="7"/>
  <c r="H13" i="5"/>
  <c r="H3" i="5"/>
  <c r="H21" i="7"/>
  <c r="H19" i="4"/>
  <c r="H30" i="7"/>
  <c r="H33" i="3"/>
  <c r="H38" i="1"/>
  <c r="H4" i="8" s="1"/>
  <c r="H19" i="6"/>
  <c r="H3" i="7"/>
  <c r="H34" i="5"/>
  <c r="H16" i="7"/>
  <c r="H16" i="4"/>
  <c r="H12" i="6"/>
  <c r="H24" i="5"/>
  <c r="H13" i="7"/>
  <c r="H21" i="6"/>
  <c r="H7" i="7"/>
  <c r="H3" i="3"/>
  <c r="H30" i="5"/>
  <c r="H12" i="5"/>
  <c r="H15" i="5"/>
  <c r="H11" i="3"/>
  <c r="H26" i="7"/>
  <c r="H21" i="5"/>
  <c r="H19" i="7"/>
  <c r="H2" i="3"/>
  <c r="H2" i="5"/>
  <c r="H24" i="7"/>
  <c r="H10" i="6"/>
  <c r="H26" i="6"/>
  <c r="H28" i="5"/>
  <c r="H29" i="3"/>
  <c r="H16" i="3"/>
  <c r="H21" i="4"/>
  <c r="H29" i="5"/>
  <c r="H37" i="1"/>
  <c r="H3" i="8" s="1"/>
  <c r="H3" i="4"/>
  <c r="H28" i="7"/>
  <c r="H4" i="3"/>
  <c r="H33" i="5"/>
  <c r="H25" i="7"/>
  <c r="H26" i="5"/>
  <c r="H21" i="3"/>
  <c r="H19" i="3"/>
  <c r="H10" i="3"/>
  <c r="H28" i="6"/>
  <c r="H29" i="6"/>
  <c r="H27" i="4"/>
  <c r="H10" i="7"/>
  <c r="H11" i="4"/>
  <c r="H24" i="3"/>
  <c r="H26" i="4"/>
  <c r="H30" i="3"/>
  <c r="H25" i="4"/>
  <c r="H24" i="6"/>
  <c r="H10" i="5"/>
  <c r="H28" i="4"/>
  <c r="H22" i="4"/>
  <c r="H11" i="6"/>
  <c r="H28" i="3"/>
  <c r="H25" i="3"/>
  <c r="H4" i="6"/>
  <c r="H7" i="5"/>
  <c r="H3" i="6"/>
  <c r="H26" i="3"/>
  <c r="H15" i="3"/>
  <c r="H30" i="4"/>
  <c r="H27" i="7"/>
  <c r="H30" i="6"/>
  <c r="H22" i="5"/>
  <c r="H31" i="6"/>
  <c r="H31" i="7"/>
  <c r="H14" i="4"/>
  <c r="H29" i="7"/>
  <c r="H2" i="6"/>
  <c r="H2" i="4"/>
  <c r="H27" i="3"/>
  <c r="H11" i="5"/>
  <c r="E6" i="10"/>
  <c r="E13" i="10" s="1"/>
  <c r="E25" i="8"/>
  <c r="E26" i="8" s="1"/>
  <c r="F37" i="3"/>
  <c r="F16" i="8"/>
  <c r="I8" i="1"/>
  <c r="H8" i="4"/>
  <c r="H8" i="3"/>
  <c r="H8" i="7"/>
  <c r="H8" i="5"/>
  <c r="H8" i="6"/>
  <c r="G36" i="3"/>
  <c r="G36" i="5"/>
  <c r="I32" i="1"/>
  <c r="H32" i="6"/>
  <c r="H32" i="7"/>
  <c r="H32" i="3"/>
  <c r="H32" i="5"/>
  <c r="H32" i="4"/>
  <c r="E17" i="8"/>
  <c r="E4" i="10"/>
  <c r="I17" i="1"/>
  <c r="H17" i="4"/>
  <c r="H17" i="5"/>
  <c r="H17" i="3"/>
  <c r="H17" i="6"/>
  <c r="H17" i="7"/>
  <c r="Q12" i="1"/>
  <c r="N13" i="1"/>
  <c r="N16" i="1"/>
  <c r="N31" i="1"/>
  <c r="N29" i="1"/>
  <c r="N27" i="1"/>
  <c r="R14" i="1"/>
  <c r="K21" i="1"/>
  <c r="N19" i="1"/>
  <c r="K28" i="1"/>
  <c r="O25" i="1"/>
  <c r="L24" i="1"/>
  <c r="K26" i="1"/>
  <c r="L3" i="1"/>
  <c r="Q15" i="1"/>
  <c r="N30" i="1"/>
  <c r="L11" i="1"/>
  <c r="M22" i="1"/>
  <c r="J9" i="1" l="1"/>
  <c r="K9" i="1" s="1"/>
  <c r="L9" i="1" s="1"/>
  <c r="M9" i="1" s="1"/>
  <c r="N9" i="1" s="1"/>
  <c r="O9" i="1" s="1"/>
  <c r="P9" i="1" s="1"/>
  <c r="Q9" i="1" s="1"/>
  <c r="R9" i="1" s="1"/>
  <c r="S9" i="1" s="1"/>
  <c r="T9" i="1" s="1"/>
  <c r="I9" i="6"/>
  <c r="I9" i="7"/>
  <c r="J8" i="1"/>
  <c r="I8" i="7"/>
  <c r="I8" i="5"/>
  <c r="I8" i="3"/>
  <c r="I8" i="4"/>
  <c r="I8" i="6"/>
  <c r="F17" i="8"/>
  <c r="F4" i="10"/>
  <c r="H36" i="7"/>
  <c r="F2" i="10"/>
  <c r="F10" i="10" s="1"/>
  <c r="F9" i="8"/>
  <c r="F10" i="8" s="1"/>
  <c r="J6" i="1"/>
  <c r="I6" i="3"/>
  <c r="I6" i="4"/>
  <c r="I6" i="7"/>
  <c r="I6" i="6"/>
  <c r="I6" i="5"/>
  <c r="I32" i="7"/>
  <c r="J32" i="1"/>
  <c r="I32" i="6"/>
  <c r="I32" i="3"/>
  <c r="I32" i="5"/>
  <c r="I32" i="4"/>
  <c r="J2" i="1"/>
  <c r="I11" i="3"/>
  <c r="I7" i="5"/>
  <c r="I3" i="3"/>
  <c r="I15" i="7"/>
  <c r="I30" i="6"/>
  <c r="I25" i="6"/>
  <c r="I16" i="5"/>
  <c r="I10" i="7"/>
  <c r="I13" i="7"/>
  <c r="I25" i="3"/>
  <c r="I13" i="4"/>
  <c r="I24" i="6"/>
  <c r="I7" i="4"/>
  <c r="I30" i="4"/>
  <c r="I25" i="4"/>
  <c r="I10" i="4"/>
  <c r="I10" i="3"/>
  <c r="I12" i="5"/>
  <c r="I7" i="6"/>
  <c r="I19" i="5"/>
  <c r="I11" i="5"/>
  <c r="I27" i="5"/>
  <c r="I15" i="3"/>
  <c r="I4" i="3"/>
  <c r="I27" i="7"/>
  <c r="I4" i="6"/>
  <c r="I12" i="3"/>
  <c r="I9" i="3"/>
  <c r="I3" i="5"/>
  <c r="I14" i="5"/>
  <c r="I13" i="3"/>
  <c r="I16" i="6"/>
  <c r="I31" i="4"/>
  <c r="I31" i="7"/>
  <c r="I10" i="6"/>
  <c r="I31" i="3"/>
  <c r="I3" i="6"/>
  <c r="I12" i="6"/>
  <c r="I21" i="7"/>
  <c r="I28" i="6"/>
  <c r="I11" i="4"/>
  <c r="I29" i="6"/>
  <c r="I11" i="7"/>
  <c r="I24" i="4"/>
  <c r="I4" i="7"/>
  <c r="I28" i="3"/>
  <c r="I14" i="7"/>
  <c r="I29" i="7"/>
  <c r="I4" i="5"/>
  <c r="I2" i="3"/>
  <c r="I29" i="3"/>
  <c r="I26" i="5"/>
  <c r="I9" i="5"/>
  <c r="I21" i="6"/>
  <c r="I22" i="6"/>
  <c r="I31" i="6"/>
  <c r="I9" i="4"/>
  <c r="I19" i="6"/>
  <c r="I2" i="5"/>
  <c r="I34" i="3"/>
  <c r="I22" i="7"/>
  <c r="I14" i="6"/>
  <c r="I21" i="4"/>
  <c r="I26" i="4"/>
  <c r="I21" i="5"/>
  <c r="I25" i="5"/>
  <c r="I25" i="7"/>
  <c r="I3" i="4"/>
  <c r="I24" i="3"/>
  <c r="I26" i="3"/>
  <c r="I7" i="7"/>
  <c r="I4" i="4"/>
  <c r="I11" i="6"/>
  <c r="I7" i="3"/>
  <c r="I14" i="3"/>
  <c r="I37" i="1"/>
  <c r="I3" i="8" s="1"/>
  <c r="I24" i="5"/>
  <c r="I19" i="4"/>
  <c r="I21" i="3"/>
  <c r="I15" i="5"/>
  <c r="I12" i="7"/>
  <c r="I15" i="4"/>
  <c r="I2" i="7"/>
  <c r="I10" i="5"/>
  <c r="I16" i="4"/>
  <c r="I30" i="5"/>
  <c r="I2" i="4"/>
  <c r="I3" i="7"/>
  <c r="I31" i="5"/>
  <c r="I15" i="6"/>
  <c r="I24" i="7"/>
  <c r="I38" i="1"/>
  <c r="I4" i="8" s="1"/>
  <c r="I27" i="4"/>
  <c r="I29" i="5"/>
  <c r="I26" i="7"/>
  <c r="I33" i="4"/>
  <c r="I2" i="6"/>
  <c r="I13" i="6"/>
  <c r="I33" i="5"/>
  <c r="I14" i="4"/>
  <c r="I16" i="7"/>
  <c r="I22" i="4"/>
  <c r="I30" i="3"/>
  <c r="I29" i="4"/>
  <c r="I28" i="7"/>
  <c r="I19" i="3"/>
  <c r="I33" i="3"/>
  <c r="I19" i="7"/>
  <c r="I22" i="3"/>
  <c r="I16" i="3"/>
  <c r="I30" i="7"/>
  <c r="I27" i="6"/>
  <c r="I22" i="5"/>
  <c r="I13" i="5"/>
  <c r="I28" i="5"/>
  <c r="I27" i="3"/>
  <c r="I28" i="4"/>
  <c r="I12" i="4"/>
  <c r="I26" i="6"/>
  <c r="G24" i="8"/>
  <c r="G37" i="5"/>
  <c r="L33" i="1"/>
  <c r="K33" i="6"/>
  <c r="K33" i="7"/>
  <c r="G37" i="3"/>
  <c r="G16" i="8"/>
  <c r="F3" i="10"/>
  <c r="F11" i="10" s="1"/>
  <c r="F13" i="8"/>
  <c r="F14" i="8" s="1"/>
  <c r="J18" i="1"/>
  <c r="I18" i="7"/>
  <c r="I18" i="5"/>
  <c r="I18" i="6"/>
  <c r="I18" i="4"/>
  <c r="I18" i="3"/>
  <c r="H36" i="4"/>
  <c r="F25" i="8"/>
  <c r="F26" i="8" s="1"/>
  <c r="F6" i="10"/>
  <c r="F13" i="10" s="1"/>
  <c r="G8" i="8"/>
  <c r="G37" i="7"/>
  <c r="J17" i="1"/>
  <c r="I17" i="7"/>
  <c r="I17" i="3"/>
  <c r="I17" i="4"/>
  <c r="I17" i="6"/>
  <c r="I17" i="5"/>
  <c r="H36" i="6"/>
  <c r="H36" i="5"/>
  <c r="G37" i="6"/>
  <c r="G12" i="8"/>
  <c r="H36" i="3"/>
  <c r="J23" i="1"/>
  <c r="I23" i="3"/>
  <c r="I23" i="4"/>
  <c r="I23" i="5"/>
  <c r="I23" i="6"/>
  <c r="I23" i="7"/>
  <c r="J20" i="1"/>
  <c r="I20" i="6"/>
  <c r="I20" i="5"/>
  <c r="I20" i="7"/>
  <c r="I20" i="3"/>
  <c r="I20" i="4"/>
  <c r="J5" i="1"/>
  <c r="I5" i="3"/>
  <c r="I5" i="6"/>
  <c r="I5" i="4"/>
  <c r="I5" i="5"/>
  <c r="I5" i="7"/>
  <c r="J34" i="7"/>
  <c r="K34" i="1"/>
  <c r="J34" i="6"/>
  <c r="F21" i="8"/>
  <c r="F22" i="8" s="1"/>
  <c r="F5" i="10"/>
  <c r="F12" i="10" s="1"/>
  <c r="G37" i="4"/>
  <c r="G20" i="8"/>
  <c r="I34" i="4"/>
  <c r="M11" i="1"/>
  <c r="L26" i="1"/>
  <c r="O16" i="1"/>
  <c r="N22" i="1"/>
  <c r="O31" i="1"/>
  <c r="L28" i="1"/>
  <c r="S14" i="1"/>
  <c r="O29" i="1"/>
  <c r="R15" i="1"/>
  <c r="O27" i="1"/>
  <c r="M3" i="1"/>
  <c r="R12" i="1"/>
  <c r="O19" i="1"/>
  <c r="P25" i="1"/>
  <c r="L21" i="1"/>
  <c r="O13" i="1"/>
  <c r="O30" i="1"/>
  <c r="M24" i="1"/>
  <c r="J34" i="5" l="1"/>
  <c r="K17" i="1"/>
  <c r="J17" i="6"/>
  <c r="J17" i="3"/>
  <c r="J17" i="4"/>
  <c r="J17" i="7"/>
  <c r="J17" i="5"/>
  <c r="H8" i="8"/>
  <c r="H37" i="7"/>
  <c r="G5" i="10"/>
  <c r="G12" i="10" s="1"/>
  <c r="G21" i="8"/>
  <c r="G22" i="8" s="1"/>
  <c r="K5" i="1"/>
  <c r="J5" i="3"/>
  <c r="J5" i="5"/>
  <c r="J5" i="7"/>
  <c r="J5" i="6"/>
  <c r="J5" i="4"/>
  <c r="K23" i="1"/>
  <c r="J23" i="5"/>
  <c r="J23" i="7"/>
  <c r="J23" i="4"/>
  <c r="J23" i="6"/>
  <c r="J23" i="3"/>
  <c r="G2" i="10"/>
  <c r="G10" i="10" s="1"/>
  <c r="G9" i="8"/>
  <c r="G10" i="8" s="1"/>
  <c r="J32" i="7"/>
  <c r="J32" i="6"/>
  <c r="K32" i="1"/>
  <c r="J32" i="5"/>
  <c r="J32" i="4"/>
  <c r="J32" i="3"/>
  <c r="G4" i="10"/>
  <c r="G17" i="8"/>
  <c r="G13" i="8"/>
  <c r="G14" i="8" s="1"/>
  <c r="G3" i="10"/>
  <c r="G11" i="10" s="1"/>
  <c r="H16" i="8"/>
  <c r="H37" i="3"/>
  <c r="H24" i="8"/>
  <c r="H37" i="5"/>
  <c r="H20" i="8"/>
  <c r="H37" i="4"/>
  <c r="L34" i="1"/>
  <c r="K34" i="6"/>
  <c r="K34" i="7"/>
  <c r="H37" i="6"/>
  <c r="H12" i="8"/>
  <c r="L33" i="7"/>
  <c r="M33" i="1"/>
  <c r="L33" i="6"/>
  <c r="I36" i="4"/>
  <c r="K20" i="1"/>
  <c r="J20" i="3"/>
  <c r="J20" i="4"/>
  <c r="J20" i="6"/>
  <c r="J20" i="5"/>
  <c r="J20" i="7"/>
  <c r="G6" i="10"/>
  <c r="G13" i="10" s="1"/>
  <c r="G25" i="8"/>
  <c r="G26" i="8" s="1"/>
  <c r="I36" i="3"/>
  <c r="I36" i="6"/>
  <c r="K2" i="1"/>
  <c r="J25" i="6"/>
  <c r="J14" i="4"/>
  <c r="J10" i="7"/>
  <c r="J7" i="3"/>
  <c r="J24" i="5"/>
  <c r="J24" i="4"/>
  <c r="J14" i="6"/>
  <c r="J16" i="4"/>
  <c r="J2" i="3"/>
  <c r="J31" i="5"/>
  <c r="J7" i="5"/>
  <c r="J22" i="3"/>
  <c r="J19" i="5"/>
  <c r="J13" i="5"/>
  <c r="J15" i="6"/>
  <c r="J24" i="7"/>
  <c r="J24" i="3"/>
  <c r="J2" i="7"/>
  <c r="J38" i="1"/>
  <c r="J4" i="8" s="1"/>
  <c r="J25" i="4"/>
  <c r="J12" i="3"/>
  <c r="J24" i="6"/>
  <c r="J7" i="7"/>
  <c r="J12" i="4"/>
  <c r="J13" i="7"/>
  <c r="J21" i="7"/>
  <c r="J15" i="5"/>
  <c r="J21" i="5"/>
  <c r="J14" i="5"/>
  <c r="J13" i="3"/>
  <c r="J19" i="6"/>
  <c r="J21" i="4"/>
  <c r="J31" i="7"/>
  <c r="J29" i="6"/>
  <c r="J31" i="3"/>
  <c r="J29" i="3"/>
  <c r="J30" i="6"/>
  <c r="J26" i="6"/>
  <c r="J9" i="6"/>
  <c r="J33" i="4"/>
  <c r="J31" i="4"/>
  <c r="J21" i="3"/>
  <c r="J12" i="7"/>
  <c r="J3" i="3"/>
  <c r="J3" i="4"/>
  <c r="J16" i="5"/>
  <c r="J30" i="4"/>
  <c r="J16" i="3"/>
  <c r="J12" i="5"/>
  <c r="J30" i="3"/>
  <c r="J3" i="5"/>
  <c r="J2" i="5"/>
  <c r="J4" i="7"/>
  <c r="J27" i="7"/>
  <c r="J3" i="6"/>
  <c r="J26" i="5"/>
  <c r="J2" i="6"/>
  <c r="J29" i="7"/>
  <c r="J26" i="7"/>
  <c r="J30" i="5"/>
  <c r="J22" i="5"/>
  <c r="J3" i="7"/>
  <c r="J4" i="5"/>
  <c r="J26" i="4"/>
  <c r="J4" i="3"/>
  <c r="J25" i="3"/>
  <c r="J22" i="7"/>
  <c r="J15" i="7"/>
  <c r="J26" i="3"/>
  <c r="J11" i="5"/>
  <c r="J14" i="7"/>
  <c r="J31" i="6"/>
  <c r="J29" i="4"/>
  <c r="J19" i="4"/>
  <c r="J34" i="3"/>
  <c r="J9" i="7"/>
  <c r="J28" i="7"/>
  <c r="J22" i="6"/>
  <c r="J10" i="5"/>
  <c r="J11" i="7"/>
  <c r="J4" i="6"/>
  <c r="J10" i="6"/>
  <c r="J15" i="3"/>
  <c r="J10" i="4"/>
  <c r="J37" i="1"/>
  <c r="J3" i="8" s="1"/>
  <c r="J16" i="6"/>
  <c r="J13" i="6"/>
  <c r="J15" i="4"/>
  <c r="J16" i="7"/>
  <c r="J9" i="3"/>
  <c r="J10" i="3"/>
  <c r="J28" i="6"/>
  <c r="J2" i="4"/>
  <c r="J25" i="7"/>
  <c r="J9" i="4"/>
  <c r="J33" i="3"/>
  <c r="J11" i="6"/>
  <c r="J33" i="5"/>
  <c r="J28" i="3"/>
  <c r="J30" i="7"/>
  <c r="J27" i="4"/>
  <c r="J19" i="3"/>
  <c r="J4" i="4"/>
  <c r="J27" i="6"/>
  <c r="J7" i="4"/>
  <c r="J34" i="4"/>
  <c r="J7" i="6"/>
  <c r="J28" i="5"/>
  <c r="J27" i="5"/>
  <c r="J9" i="5"/>
  <c r="J27" i="3"/>
  <c r="J21" i="6"/>
  <c r="J19" i="7"/>
  <c r="J25" i="5"/>
  <c r="J28" i="4"/>
  <c r="J29" i="5"/>
  <c r="J13" i="4"/>
  <c r="J22" i="4"/>
  <c r="J14" i="3"/>
  <c r="J12" i="6"/>
  <c r="J11" i="4"/>
  <c r="J11" i="3"/>
  <c r="K6" i="1"/>
  <c r="J6" i="6"/>
  <c r="J6" i="7"/>
  <c r="J6" i="5"/>
  <c r="J6" i="3"/>
  <c r="J6" i="4"/>
  <c r="I36" i="5"/>
  <c r="K8" i="1"/>
  <c r="J8" i="4"/>
  <c r="J8" i="6"/>
  <c r="J8" i="5"/>
  <c r="J8" i="3"/>
  <c r="J8" i="7"/>
  <c r="I36" i="7"/>
  <c r="K18" i="1"/>
  <c r="J18" i="4"/>
  <c r="J18" i="5"/>
  <c r="J18" i="3"/>
  <c r="J18" i="6"/>
  <c r="J18" i="7"/>
  <c r="S12" i="1"/>
  <c r="P30" i="1"/>
  <c r="N3" i="1"/>
  <c r="O22" i="1"/>
  <c r="P13" i="1"/>
  <c r="S15" i="1"/>
  <c r="M21" i="1"/>
  <c r="N11" i="1"/>
  <c r="P27" i="1"/>
  <c r="P29" i="1"/>
  <c r="P19" i="1"/>
  <c r="M26" i="1"/>
  <c r="M28" i="1"/>
  <c r="T14" i="1"/>
  <c r="N24" i="1"/>
  <c r="Q25" i="1"/>
  <c r="P16" i="1"/>
  <c r="P31" i="1"/>
  <c r="L2" i="1" l="1"/>
  <c r="K24" i="5"/>
  <c r="K22" i="5"/>
  <c r="K24" i="4"/>
  <c r="K3" i="7"/>
  <c r="K16" i="7"/>
  <c r="K19" i="4"/>
  <c r="K31" i="4"/>
  <c r="K24" i="3"/>
  <c r="K3" i="4"/>
  <c r="K3" i="3"/>
  <c r="K19" i="6"/>
  <c r="K11" i="7"/>
  <c r="K29" i="4"/>
  <c r="K31" i="3"/>
  <c r="K22" i="3"/>
  <c r="K29" i="3"/>
  <c r="K30" i="7"/>
  <c r="K11" i="6"/>
  <c r="K16" i="5"/>
  <c r="K30" i="6"/>
  <c r="K11" i="5"/>
  <c r="K30" i="4"/>
  <c r="K24" i="7"/>
  <c r="K29" i="6"/>
  <c r="K27" i="4"/>
  <c r="K16" i="4"/>
  <c r="K27" i="5"/>
  <c r="K11" i="4"/>
  <c r="K24" i="6"/>
  <c r="K29" i="5"/>
  <c r="K11" i="3"/>
  <c r="K22" i="7"/>
  <c r="K33" i="5"/>
  <c r="K26" i="6"/>
  <c r="K28" i="4"/>
  <c r="K13" i="3"/>
  <c r="K10" i="7"/>
  <c r="K15" i="5"/>
  <c r="K9" i="4"/>
  <c r="K12" i="7"/>
  <c r="K10" i="5"/>
  <c r="K26" i="4"/>
  <c r="K3" i="5"/>
  <c r="K4" i="3"/>
  <c r="K14" i="5"/>
  <c r="K27" i="7"/>
  <c r="K28" i="3"/>
  <c r="K25" i="4"/>
  <c r="K13" i="4"/>
  <c r="K26" i="5"/>
  <c r="K34" i="4"/>
  <c r="K34" i="5"/>
  <c r="K21" i="7"/>
  <c r="K9" i="6"/>
  <c r="K15" i="4"/>
  <c r="K14" i="7"/>
  <c r="K30" i="5"/>
  <c r="K7" i="3"/>
  <c r="K4" i="4"/>
  <c r="K19" i="3"/>
  <c r="K26" i="3"/>
  <c r="K21" i="5"/>
  <c r="K2" i="6"/>
  <c r="K25" i="5"/>
  <c r="K4" i="5"/>
  <c r="K25" i="3"/>
  <c r="K27" i="6"/>
  <c r="K21" i="4"/>
  <c r="K14" i="4"/>
  <c r="K2" i="4"/>
  <c r="K10" i="4"/>
  <c r="K31" i="7"/>
  <c r="K14" i="6"/>
  <c r="K27" i="3"/>
  <c r="K13" i="5"/>
  <c r="K31" i="6"/>
  <c r="K21" i="3"/>
  <c r="K9" i="3"/>
  <c r="K14" i="3"/>
  <c r="K15" i="7"/>
  <c r="K15" i="3"/>
  <c r="K38" i="1"/>
  <c r="K4" i="8" s="1"/>
  <c r="K2" i="7"/>
  <c r="K33" i="3"/>
  <c r="K25" i="6"/>
  <c r="K2" i="3"/>
  <c r="K22" i="4"/>
  <c r="K13" i="6"/>
  <c r="K9" i="7"/>
  <c r="K21" i="6"/>
  <c r="K33" i="4"/>
  <c r="K12" i="3"/>
  <c r="K10" i="6"/>
  <c r="K31" i="5"/>
  <c r="K3" i="6"/>
  <c r="K12" i="5"/>
  <c r="K12" i="6"/>
  <c r="K28" i="7"/>
  <c r="K7" i="5"/>
  <c r="K4" i="7"/>
  <c r="K30" i="3"/>
  <c r="K29" i="7"/>
  <c r="K28" i="6"/>
  <c r="K22" i="6"/>
  <c r="K16" i="3"/>
  <c r="K10" i="3"/>
  <c r="K4" i="6"/>
  <c r="K9" i="5"/>
  <c r="K2" i="5"/>
  <c r="K13" i="7"/>
  <c r="K25" i="7"/>
  <c r="K26" i="7"/>
  <c r="K19" i="7"/>
  <c r="K28" i="5"/>
  <c r="K19" i="5"/>
  <c r="K12" i="4"/>
  <c r="K7" i="7"/>
  <c r="K7" i="4"/>
  <c r="K37" i="1"/>
  <c r="K3" i="8" s="1"/>
  <c r="K7" i="6"/>
  <c r="K16" i="6"/>
  <c r="K15" i="6"/>
  <c r="H4" i="10"/>
  <c r="H17" i="8"/>
  <c r="I37" i="6"/>
  <c r="I12" i="8"/>
  <c r="M33" i="7"/>
  <c r="N33" i="1"/>
  <c r="M33" i="6"/>
  <c r="L5" i="1"/>
  <c r="K5" i="4"/>
  <c r="K5" i="5"/>
  <c r="K5" i="6"/>
  <c r="K5" i="7"/>
  <c r="K5" i="3"/>
  <c r="L8" i="1"/>
  <c r="K8" i="6"/>
  <c r="K8" i="7"/>
  <c r="K8" i="3"/>
  <c r="K8" i="5"/>
  <c r="K8" i="4"/>
  <c r="I16" i="8"/>
  <c r="I37" i="3"/>
  <c r="J36" i="3"/>
  <c r="I24" i="8"/>
  <c r="I37" i="5"/>
  <c r="J36" i="4"/>
  <c r="J36" i="6"/>
  <c r="H13" i="8"/>
  <c r="H14" i="8" s="1"/>
  <c r="H3" i="10"/>
  <c r="H11" i="10" s="1"/>
  <c r="H9" i="8"/>
  <c r="H10" i="8" s="1"/>
  <c r="H2" i="10"/>
  <c r="H10" i="10" s="1"/>
  <c r="L18" i="1"/>
  <c r="K18" i="3"/>
  <c r="K18" i="5"/>
  <c r="K18" i="7"/>
  <c r="K18" i="6"/>
  <c r="K18" i="4"/>
  <c r="I8" i="8"/>
  <c r="I37" i="7"/>
  <c r="K34" i="3"/>
  <c r="L34" i="7"/>
  <c r="L34" i="6"/>
  <c r="M34" i="1"/>
  <c r="L23" i="1"/>
  <c r="K23" i="5"/>
  <c r="K23" i="3"/>
  <c r="K23" i="4"/>
  <c r="K23" i="6"/>
  <c r="K23" i="7"/>
  <c r="J36" i="5"/>
  <c r="H21" i="8"/>
  <c r="H22" i="8" s="1"/>
  <c r="H5" i="10"/>
  <c r="H12" i="10" s="1"/>
  <c r="L6" i="1"/>
  <c r="K6" i="7"/>
  <c r="K6" i="6"/>
  <c r="K6" i="4"/>
  <c r="K6" i="3"/>
  <c r="K6" i="5"/>
  <c r="L32" i="1"/>
  <c r="K32" i="6"/>
  <c r="K32" i="7"/>
  <c r="K32" i="5"/>
  <c r="K32" i="4"/>
  <c r="K32" i="3"/>
  <c r="J36" i="7"/>
  <c r="L20" i="1"/>
  <c r="K20" i="6"/>
  <c r="K20" i="5"/>
  <c r="K20" i="4"/>
  <c r="K20" i="7"/>
  <c r="K20" i="3"/>
  <c r="H25" i="8"/>
  <c r="H26" i="8" s="1"/>
  <c r="H6" i="10"/>
  <c r="H13" i="10" s="1"/>
  <c r="I37" i="4"/>
  <c r="I20" i="8"/>
  <c r="L17" i="1"/>
  <c r="K17" i="5"/>
  <c r="K17" i="7"/>
  <c r="K17" i="6"/>
  <c r="K17" i="4"/>
  <c r="K17" i="3"/>
  <c r="Q19" i="1"/>
  <c r="Q30" i="1"/>
  <c r="P22" i="1"/>
  <c r="O24" i="1"/>
  <c r="Q31" i="1"/>
  <c r="O11" i="1"/>
  <c r="O3" i="1"/>
  <c r="N28" i="1"/>
  <c r="Q29" i="1"/>
  <c r="T15" i="1"/>
  <c r="Q13" i="1"/>
  <c r="Q16" i="1"/>
  <c r="R25" i="1"/>
  <c r="N26" i="1"/>
  <c r="Q27" i="1"/>
  <c r="N21" i="1"/>
  <c r="T12" i="1"/>
  <c r="I3" i="10" l="1"/>
  <c r="I11" i="10" s="1"/>
  <c r="I13" i="8"/>
  <c r="I14" i="8" s="1"/>
  <c r="N34" i="1"/>
  <c r="M34" i="7"/>
  <c r="M34" i="6"/>
  <c r="M18" i="1"/>
  <c r="L18" i="4"/>
  <c r="L18" i="7"/>
  <c r="L18" i="6"/>
  <c r="L18" i="5"/>
  <c r="L18" i="3"/>
  <c r="K36" i="7"/>
  <c r="M20" i="1"/>
  <c r="L20" i="7"/>
  <c r="L20" i="4"/>
  <c r="L20" i="6"/>
  <c r="L20" i="3"/>
  <c r="L20" i="5"/>
  <c r="M5" i="1"/>
  <c r="L5" i="5"/>
  <c r="L5" i="4"/>
  <c r="L5" i="3"/>
  <c r="L5" i="7"/>
  <c r="L5" i="6"/>
  <c r="K36" i="4"/>
  <c r="J37" i="7"/>
  <c r="J8" i="8"/>
  <c r="M6" i="1"/>
  <c r="L6" i="7"/>
  <c r="L6" i="5"/>
  <c r="L6" i="4"/>
  <c r="L6" i="3"/>
  <c r="L6" i="6"/>
  <c r="J37" i="4"/>
  <c r="J20" i="8"/>
  <c r="N33" i="7"/>
  <c r="N33" i="6"/>
  <c r="O33" i="1"/>
  <c r="M8" i="1"/>
  <c r="L8" i="7"/>
  <c r="L8" i="3"/>
  <c r="L8" i="6"/>
  <c r="L8" i="5"/>
  <c r="L8" i="4"/>
  <c r="M17" i="1"/>
  <c r="L17" i="4"/>
  <c r="L17" i="7"/>
  <c r="L17" i="3"/>
  <c r="L17" i="5"/>
  <c r="L17" i="6"/>
  <c r="I21" i="8"/>
  <c r="I22" i="8" s="1"/>
  <c r="I5" i="10"/>
  <c r="I12" i="10" s="1"/>
  <c r="J37" i="5"/>
  <c r="J24" i="8"/>
  <c r="I2" i="10"/>
  <c r="I10" i="10" s="1"/>
  <c r="I9" i="8"/>
  <c r="I10" i="8" s="1"/>
  <c r="J37" i="6"/>
  <c r="J12" i="8"/>
  <c r="M32" i="1"/>
  <c r="L32" i="7"/>
  <c r="L32" i="6"/>
  <c r="L32" i="5"/>
  <c r="L32" i="3"/>
  <c r="L32" i="4"/>
  <c r="I25" i="8"/>
  <c r="I26" i="8" s="1"/>
  <c r="I6" i="10"/>
  <c r="I13" i="10" s="1"/>
  <c r="K36" i="6"/>
  <c r="K36" i="3"/>
  <c r="K36" i="5"/>
  <c r="J37" i="3"/>
  <c r="J16" i="8"/>
  <c r="M23" i="1"/>
  <c r="L23" i="5"/>
  <c r="L23" i="7"/>
  <c r="L23" i="6"/>
  <c r="L23" i="4"/>
  <c r="L23" i="3"/>
  <c r="I17" i="8"/>
  <c r="I4" i="10"/>
  <c r="M2" i="1"/>
  <c r="L3" i="6"/>
  <c r="L30" i="4"/>
  <c r="L13" i="6"/>
  <c r="L7" i="7"/>
  <c r="L25" i="5"/>
  <c r="L12" i="5"/>
  <c r="L33" i="4"/>
  <c r="L16" i="3"/>
  <c r="L10" i="6"/>
  <c r="L27" i="6"/>
  <c r="L15" i="7"/>
  <c r="L2" i="6"/>
  <c r="L24" i="6"/>
  <c r="L24" i="5"/>
  <c r="L31" i="5"/>
  <c r="L11" i="3"/>
  <c r="L4" i="4"/>
  <c r="L24" i="7"/>
  <c r="L12" i="3"/>
  <c r="L31" i="7"/>
  <c r="L29" i="5"/>
  <c r="L10" i="3"/>
  <c r="L7" i="3"/>
  <c r="L13" i="7"/>
  <c r="L9" i="5"/>
  <c r="L24" i="4"/>
  <c r="L10" i="7"/>
  <c r="L30" i="6"/>
  <c r="L24" i="3"/>
  <c r="L22" i="6"/>
  <c r="L31" i="6"/>
  <c r="L4" i="3"/>
  <c r="L34" i="3"/>
  <c r="L22" i="3"/>
  <c r="L26" i="3"/>
  <c r="L31" i="4"/>
  <c r="L16" i="4"/>
  <c r="L14" i="4"/>
  <c r="L30" i="7"/>
  <c r="L28" i="5"/>
  <c r="L11" i="7"/>
  <c r="L25" i="7"/>
  <c r="L29" i="7"/>
  <c r="L11" i="6"/>
  <c r="L29" i="3"/>
  <c r="L7" i="5"/>
  <c r="L2" i="7"/>
  <c r="L28" i="3"/>
  <c r="L3" i="3"/>
  <c r="L27" i="5"/>
  <c r="L11" i="5"/>
  <c r="L29" i="4"/>
  <c r="L13" i="3"/>
  <c r="L22" i="7"/>
  <c r="L30" i="3"/>
  <c r="L10" i="5"/>
  <c r="L3" i="4"/>
  <c r="L15" i="6"/>
  <c r="L27" i="4"/>
  <c r="L19" i="6"/>
  <c r="L7" i="6"/>
  <c r="L33" i="3"/>
  <c r="L15" i="3"/>
  <c r="L4" i="5"/>
  <c r="L14" i="5"/>
  <c r="L9" i="6"/>
  <c r="L4" i="7"/>
  <c r="L12" i="7"/>
  <c r="L16" i="5"/>
  <c r="L28" i="4"/>
  <c r="L37" i="1"/>
  <c r="L3" i="8" s="1"/>
  <c r="L21" i="6"/>
  <c r="L2" i="5"/>
  <c r="L29" i="6"/>
  <c r="L9" i="7"/>
  <c r="L10" i="4"/>
  <c r="L15" i="5"/>
  <c r="L21" i="7"/>
  <c r="L15" i="4"/>
  <c r="L21" i="5"/>
  <c r="L13" i="4"/>
  <c r="L27" i="7"/>
  <c r="L9" i="4"/>
  <c r="L16" i="6"/>
  <c r="L31" i="3"/>
  <c r="L28" i="6"/>
  <c r="L22" i="5"/>
  <c r="L13" i="5"/>
  <c r="L38" i="1"/>
  <c r="L4" i="8" s="1"/>
  <c r="L3" i="5"/>
  <c r="L16" i="7"/>
  <c r="L19" i="5"/>
  <c r="L27" i="3"/>
  <c r="L7" i="4"/>
  <c r="L21" i="4"/>
  <c r="L2" i="3"/>
  <c r="L30" i="5"/>
  <c r="L26" i="7"/>
  <c r="L14" i="7"/>
  <c r="L14" i="3"/>
  <c r="L19" i="3"/>
  <c r="L3" i="7"/>
  <c r="L25" i="6"/>
  <c r="L4" i="6"/>
  <c r="L12" i="4"/>
  <c r="L19" i="4"/>
  <c r="L11" i="4"/>
  <c r="L34" i="5"/>
  <c r="L19" i="7"/>
  <c r="L21" i="3"/>
  <c r="L26" i="6"/>
  <c r="L2" i="4"/>
  <c r="L9" i="3"/>
  <c r="L14" i="6"/>
  <c r="L12" i="6"/>
  <c r="L26" i="5"/>
  <c r="L22" i="4"/>
  <c r="L33" i="5"/>
  <c r="L28" i="7"/>
  <c r="L25" i="3"/>
  <c r="L34" i="4"/>
  <c r="L25" i="4"/>
  <c r="L26" i="4"/>
  <c r="O28" i="1"/>
  <c r="Q22" i="1"/>
  <c r="P11" i="1"/>
  <c r="R27" i="1"/>
  <c r="R29" i="1"/>
  <c r="P3" i="1"/>
  <c r="R19" i="1"/>
  <c r="R16" i="1"/>
  <c r="R31" i="1"/>
  <c r="S25" i="1"/>
  <c r="P24" i="1"/>
  <c r="O26" i="1"/>
  <c r="O21" i="1"/>
  <c r="R30" i="1"/>
  <c r="R13" i="1"/>
  <c r="L36" i="5" l="1"/>
  <c r="K37" i="5"/>
  <c r="K24" i="8"/>
  <c r="J13" i="8"/>
  <c r="J14" i="8" s="1"/>
  <c r="J3" i="10"/>
  <c r="J11" i="10" s="1"/>
  <c r="J21" i="8"/>
  <c r="J22" i="8" s="1"/>
  <c r="J5" i="10"/>
  <c r="J12" i="10" s="1"/>
  <c r="L36" i="3"/>
  <c r="N2" i="1"/>
  <c r="M3" i="4"/>
  <c r="M11" i="3"/>
  <c r="M2" i="6"/>
  <c r="M31" i="3"/>
  <c r="M30" i="5"/>
  <c r="M22" i="5"/>
  <c r="M7" i="6"/>
  <c r="M24" i="5"/>
  <c r="M16" i="3"/>
  <c r="M2" i="7"/>
  <c r="M13" i="4"/>
  <c r="M25" i="5"/>
  <c r="M27" i="6"/>
  <c r="M29" i="5"/>
  <c r="M12" i="5"/>
  <c r="M16" i="7"/>
  <c r="M9" i="6"/>
  <c r="M9" i="3"/>
  <c r="M25" i="3"/>
  <c r="M38" i="1"/>
  <c r="M4" i="8" s="1"/>
  <c r="M11" i="4"/>
  <c r="M24" i="3"/>
  <c r="M10" i="4"/>
  <c r="M33" i="4"/>
  <c r="M4" i="3"/>
  <c r="M14" i="3"/>
  <c r="M2" i="3"/>
  <c r="M16" i="5"/>
  <c r="M27" i="5"/>
  <c r="M14" i="5"/>
  <c r="M30" i="7"/>
  <c r="M4" i="6"/>
  <c r="M11" i="7"/>
  <c r="M29" i="6"/>
  <c r="M33" i="3"/>
  <c r="M7" i="4"/>
  <c r="M33" i="5"/>
  <c r="M21" i="6"/>
  <c r="M19" i="6"/>
  <c r="M3" i="6"/>
  <c r="M11" i="5"/>
  <c r="M10" i="6"/>
  <c r="M26" i="7"/>
  <c r="M7" i="7"/>
  <c r="M34" i="4"/>
  <c r="M21" i="4"/>
  <c r="M7" i="3"/>
  <c r="M28" i="6"/>
  <c r="M13" i="5"/>
  <c r="M2" i="5"/>
  <c r="M3" i="3"/>
  <c r="M25" i="6"/>
  <c r="M27" i="4"/>
  <c r="M24" i="6"/>
  <c r="M9" i="7"/>
  <c r="M28" i="4"/>
  <c r="M21" i="3"/>
  <c r="M29" i="3"/>
  <c r="M15" i="5"/>
  <c r="M19" i="3"/>
  <c r="M14" i="6"/>
  <c r="M28" i="5"/>
  <c r="M15" i="3"/>
  <c r="M12" i="7"/>
  <c r="M27" i="3"/>
  <c r="M16" i="4"/>
  <c r="M28" i="3"/>
  <c r="M12" i="6"/>
  <c r="M26" i="5"/>
  <c r="M27" i="7"/>
  <c r="M31" i="4"/>
  <c r="M13" i="7"/>
  <c r="M24" i="4"/>
  <c r="M15" i="6"/>
  <c r="M24" i="7"/>
  <c r="M26" i="6"/>
  <c r="M4" i="4"/>
  <c r="M30" i="6"/>
  <c r="M37" i="1"/>
  <c r="M3" i="8" s="1"/>
  <c r="M10" i="3"/>
  <c r="M19" i="7"/>
  <c r="M22" i="4"/>
  <c r="M28" i="7"/>
  <c r="M13" i="3"/>
  <c r="M3" i="5"/>
  <c r="M11" i="6"/>
  <c r="M3" i="7"/>
  <c r="M4" i="7"/>
  <c r="M10" i="5"/>
  <c r="M2" i="4"/>
  <c r="M26" i="4"/>
  <c r="M22" i="6"/>
  <c r="M14" i="4"/>
  <c r="M19" i="5"/>
  <c r="M25" i="7"/>
  <c r="M25" i="4"/>
  <c r="M26" i="3"/>
  <c r="M31" i="6"/>
  <c r="M4" i="5"/>
  <c r="M30" i="3"/>
  <c r="M15" i="7"/>
  <c r="M30" i="4"/>
  <c r="M22" i="3"/>
  <c r="M13" i="6"/>
  <c r="M9" i="4"/>
  <c r="M16" i="6"/>
  <c r="M34" i="5"/>
  <c r="M10" i="7"/>
  <c r="M29" i="4"/>
  <c r="M7" i="5"/>
  <c r="M14" i="7"/>
  <c r="M22" i="7"/>
  <c r="M9" i="5"/>
  <c r="M15" i="4"/>
  <c r="M31" i="5"/>
  <c r="M21" i="7"/>
  <c r="M12" i="4"/>
  <c r="M29" i="7"/>
  <c r="M31" i="7"/>
  <c r="M19" i="4"/>
  <c r="M12" i="3"/>
  <c r="M21" i="5"/>
  <c r="K37" i="3"/>
  <c r="K16" i="8"/>
  <c r="N17" i="1"/>
  <c r="M17" i="4"/>
  <c r="M17" i="3"/>
  <c r="M17" i="5"/>
  <c r="M17" i="6"/>
  <c r="M17" i="7"/>
  <c r="L36" i="7"/>
  <c r="K37" i="6"/>
  <c r="K12" i="8"/>
  <c r="J25" i="8"/>
  <c r="J26" i="8" s="1"/>
  <c r="J6" i="10"/>
  <c r="J13" i="10" s="1"/>
  <c r="N18" i="1"/>
  <c r="M18" i="4"/>
  <c r="M18" i="6"/>
  <c r="M18" i="7"/>
  <c r="M18" i="5"/>
  <c r="M18" i="3"/>
  <c r="N5" i="1"/>
  <c r="M5" i="4"/>
  <c r="M5" i="6"/>
  <c r="M5" i="5"/>
  <c r="M5" i="3"/>
  <c r="M5" i="7"/>
  <c r="M34" i="3"/>
  <c r="N6" i="1"/>
  <c r="M6" i="6"/>
  <c r="M6" i="4"/>
  <c r="M6" i="3"/>
  <c r="M6" i="7"/>
  <c r="M6" i="5"/>
  <c r="N8" i="1"/>
  <c r="M8" i="6"/>
  <c r="M8" i="5"/>
  <c r="M8" i="4"/>
  <c r="M8" i="7"/>
  <c r="M8" i="3"/>
  <c r="O33" i="7"/>
  <c r="P33" i="1"/>
  <c r="Q33" i="1" s="1"/>
  <c r="R33" i="1" s="1"/>
  <c r="O33" i="6"/>
  <c r="J9" i="8"/>
  <c r="J10" i="8" s="1"/>
  <c r="J2" i="10"/>
  <c r="J10" i="10" s="1"/>
  <c r="O34" i="1"/>
  <c r="N34" i="7"/>
  <c r="N34" i="6"/>
  <c r="L36" i="4"/>
  <c r="N23" i="1"/>
  <c r="M23" i="4"/>
  <c r="M23" i="7"/>
  <c r="M23" i="5"/>
  <c r="M23" i="6"/>
  <c r="M23" i="3"/>
  <c r="K37" i="4"/>
  <c r="K20" i="8"/>
  <c r="N20" i="1"/>
  <c r="M20" i="3"/>
  <c r="M20" i="6"/>
  <c r="M20" i="7"/>
  <c r="M20" i="4"/>
  <c r="M20" i="5"/>
  <c r="N32" i="1"/>
  <c r="M32" i="6"/>
  <c r="M32" i="7"/>
  <c r="M32" i="5"/>
  <c r="M32" i="3"/>
  <c r="M32" i="4"/>
  <c r="L36" i="6"/>
  <c r="K8" i="8"/>
  <c r="K37" i="7"/>
  <c r="J17" i="8"/>
  <c r="J4" i="10"/>
  <c r="S19" i="1"/>
  <c r="S30" i="1"/>
  <c r="T25" i="1"/>
  <c r="S33" i="1"/>
  <c r="S13" i="1"/>
  <c r="P26" i="1"/>
  <c r="R22" i="1"/>
  <c r="P28" i="1"/>
  <c r="S16" i="1"/>
  <c r="P21" i="1"/>
  <c r="S29" i="1"/>
  <c r="Q24" i="1"/>
  <c r="S31" i="1"/>
  <c r="Q11" i="1"/>
  <c r="Q3" i="1"/>
  <c r="S27" i="1"/>
  <c r="K2" i="10" l="1"/>
  <c r="K10" i="10" s="1"/>
  <c r="K9" i="8"/>
  <c r="K10" i="8" s="1"/>
  <c r="L37" i="4"/>
  <c r="L20" i="8"/>
  <c r="K4" i="10"/>
  <c r="K17" i="8"/>
  <c r="M36" i="3"/>
  <c r="O32" i="1"/>
  <c r="N32" i="7"/>
  <c r="N32" i="6"/>
  <c r="N32" i="4"/>
  <c r="N32" i="5"/>
  <c r="N32" i="3"/>
  <c r="M36" i="5"/>
  <c r="L37" i="6"/>
  <c r="L12" i="8"/>
  <c r="O8" i="1"/>
  <c r="N8" i="7"/>
  <c r="N8" i="3"/>
  <c r="N8" i="5"/>
  <c r="N8" i="4"/>
  <c r="N8" i="6"/>
  <c r="O20" i="1"/>
  <c r="N20" i="7"/>
  <c r="N20" i="6"/>
  <c r="N20" i="3"/>
  <c r="N20" i="5"/>
  <c r="N20" i="4"/>
  <c r="P34" i="1"/>
  <c r="O34" i="6"/>
  <c r="O34" i="7"/>
  <c r="M36" i="6"/>
  <c r="O2" i="1"/>
  <c r="N22" i="5"/>
  <c r="N12" i="3"/>
  <c r="N3" i="4"/>
  <c r="N19" i="6"/>
  <c r="N27" i="5"/>
  <c r="N24" i="5"/>
  <c r="N13" i="3"/>
  <c r="N26" i="3"/>
  <c r="N15" i="4"/>
  <c r="N12" i="4"/>
  <c r="N16" i="5"/>
  <c r="N10" i="4"/>
  <c r="N2" i="7"/>
  <c r="N9" i="3"/>
  <c r="N27" i="7"/>
  <c r="N33" i="3"/>
  <c r="N7" i="7"/>
  <c r="N11" i="5"/>
  <c r="N11" i="6"/>
  <c r="N10" i="5"/>
  <c r="N31" i="3"/>
  <c r="N13" i="7"/>
  <c r="N31" i="5"/>
  <c r="N4" i="4"/>
  <c r="N26" i="4"/>
  <c r="N7" i="6"/>
  <c r="N10" i="6"/>
  <c r="N12" i="5"/>
  <c r="N9" i="7"/>
  <c r="N31" i="6"/>
  <c r="N22" i="6"/>
  <c r="N15" i="6"/>
  <c r="N4" i="7"/>
  <c r="N25" i="3"/>
  <c r="N4" i="5"/>
  <c r="N11" i="7"/>
  <c r="N3" i="3"/>
  <c r="N3" i="6"/>
  <c r="N29" i="3"/>
  <c r="N30" i="4"/>
  <c r="N7" i="5"/>
  <c r="N28" i="3"/>
  <c r="N24" i="6"/>
  <c r="N2" i="6"/>
  <c r="N14" i="7"/>
  <c r="N2" i="4"/>
  <c r="N26" i="6"/>
  <c r="N9" i="5"/>
  <c r="N25" i="7"/>
  <c r="N3" i="5"/>
  <c r="N38" i="1"/>
  <c r="N4" i="8" s="1"/>
  <c r="N25" i="6"/>
  <c r="N21" i="7"/>
  <c r="N4" i="3"/>
  <c r="N15" i="7"/>
  <c r="N14" i="4"/>
  <c r="N14" i="3"/>
  <c r="N24" i="7"/>
  <c r="N24" i="3"/>
  <c r="N13" i="5"/>
  <c r="N15" i="5"/>
  <c r="N22" i="7"/>
  <c r="N10" i="7"/>
  <c r="N16" i="7"/>
  <c r="N19" i="4"/>
  <c r="N29" i="4"/>
  <c r="N21" i="4"/>
  <c r="N19" i="5"/>
  <c r="N16" i="4"/>
  <c r="N28" i="7"/>
  <c r="N13" i="4"/>
  <c r="N37" i="1"/>
  <c r="N3" i="8" s="1"/>
  <c r="N21" i="6"/>
  <c r="N2" i="5"/>
  <c r="N29" i="7"/>
  <c r="N19" i="7"/>
  <c r="N28" i="6"/>
  <c r="N26" i="7"/>
  <c r="N14" i="5"/>
  <c r="N28" i="5"/>
  <c r="N24" i="4"/>
  <c r="N25" i="4"/>
  <c r="N22" i="3"/>
  <c r="N12" i="6"/>
  <c r="N31" i="7"/>
  <c r="N21" i="5"/>
  <c r="N7" i="4"/>
  <c r="N31" i="4"/>
  <c r="N16" i="3"/>
  <c r="N30" i="6"/>
  <c r="N30" i="7"/>
  <c r="N14" i="6"/>
  <c r="N27" i="6"/>
  <c r="N7" i="3"/>
  <c r="N11" i="3"/>
  <c r="N27" i="4"/>
  <c r="N28" i="4"/>
  <c r="N25" i="5"/>
  <c r="N9" i="4"/>
  <c r="N30" i="3"/>
  <c r="N12" i="7"/>
  <c r="N27" i="3"/>
  <c r="N34" i="3"/>
  <c r="N33" i="4"/>
  <c r="N22" i="4"/>
  <c r="N21" i="3"/>
  <c r="N2" i="3"/>
  <c r="N29" i="5"/>
  <c r="N9" i="6"/>
  <c r="N33" i="5"/>
  <c r="N13" i="6"/>
  <c r="N19" i="3"/>
  <c r="N3" i="7"/>
  <c r="N30" i="5"/>
  <c r="N26" i="5"/>
  <c r="N15" i="3"/>
  <c r="N34" i="4"/>
  <c r="N16" i="6"/>
  <c r="N10" i="3"/>
  <c r="N11" i="4"/>
  <c r="N29" i="6"/>
  <c r="N4" i="6"/>
  <c r="K3" i="10"/>
  <c r="K11" i="10" s="1"/>
  <c r="K13" i="8"/>
  <c r="K14" i="8" s="1"/>
  <c r="L37" i="7"/>
  <c r="L8" i="8"/>
  <c r="L16" i="8"/>
  <c r="L37" i="3"/>
  <c r="K5" i="10"/>
  <c r="K12" i="10" s="1"/>
  <c r="K21" i="8"/>
  <c r="K22" i="8" s="1"/>
  <c r="O5" i="1"/>
  <c r="N5" i="7"/>
  <c r="N5" i="4"/>
  <c r="N5" i="6"/>
  <c r="N5" i="5"/>
  <c r="N5" i="3"/>
  <c r="M36" i="7"/>
  <c r="O6" i="1"/>
  <c r="N6" i="3"/>
  <c r="N6" i="6"/>
  <c r="N6" i="4"/>
  <c r="N6" i="7"/>
  <c r="N6" i="5"/>
  <c r="N34" i="5"/>
  <c r="M36" i="4"/>
  <c r="O17" i="1"/>
  <c r="N17" i="4"/>
  <c r="N17" i="5"/>
  <c r="N17" i="7"/>
  <c r="N17" i="3"/>
  <c r="N17" i="6"/>
  <c r="K25" i="8"/>
  <c r="K26" i="8" s="1"/>
  <c r="K6" i="10"/>
  <c r="K13" i="10" s="1"/>
  <c r="O23" i="1"/>
  <c r="N23" i="7"/>
  <c r="N23" i="4"/>
  <c r="N23" i="6"/>
  <c r="N23" i="3"/>
  <c r="N23" i="5"/>
  <c r="O18" i="1"/>
  <c r="N18" i="5"/>
  <c r="N18" i="6"/>
  <c r="N18" i="3"/>
  <c r="N18" i="4"/>
  <c r="N18" i="7"/>
  <c r="L37" i="5"/>
  <c r="L24" i="8"/>
  <c r="R3" i="1"/>
  <c r="T16" i="1"/>
  <c r="Q21" i="1"/>
  <c r="T19" i="1"/>
  <c r="T27" i="1"/>
  <c r="S22" i="1"/>
  <c r="Q26" i="1"/>
  <c r="R24" i="1"/>
  <c r="T31" i="1"/>
  <c r="Q28" i="1"/>
  <c r="T13" i="1"/>
  <c r="T29" i="1"/>
  <c r="T33" i="1"/>
  <c r="T30" i="1"/>
  <c r="R11" i="1"/>
  <c r="O34" i="3" l="1"/>
  <c r="N36" i="3"/>
  <c r="N16" i="8" s="1"/>
  <c r="N37" i="3"/>
  <c r="N36" i="5"/>
  <c r="P20" i="1"/>
  <c r="O20" i="7"/>
  <c r="O20" i="4"/>
  <c r="O20" i="6"/>
  <c r="O20" i="5"/>
  <c r="O20" i="3"/>
  <c r="M20" i="8"/>
  <c r="M37" i="4"/>
  <c r="N36" i="7"/>
  <c r="P2" i="1"/>
  <c r="O31" i="6"/>
  <c r="O29" i="7"/>
  <c r="O7" i="4"/>
  <c r="O27" i="4"/>
  <c r="O7" i="7"/>
  <c r="O10" i="6"/>
  <c r="O10" i="7"/>
  <c r="O13" i="5"/>
  <c r="O29" i="4"/>
  <c r="O27" i="5"/>
  <c r="O11" i="3"/>
  <c r="O26" i="6"/>
  <c r="O21" i="6"/>
  <c r="O22" i="5"/>
  <c r="O2" i="3"/>
  <c r="O12" i="3"/>
  <c r="O12" i="5"/>
  <c r="O9" i="7"/>
  <c r="O24" i="7"/>
  <c r="O29" i="6"/>
  <c r="O7" i="3"/>
  <c r="O19" i="6"/>
  <c r="O16" i="5"/>
  <c r="O26" i="4"/>
  <c r="O28" i="7"/>
  <c r="O10" i="5"/>
  <c r="O33" i="5"/>
  <c r="O25" i="3"/>
  <c r="O3" i="7"/>
  <c r="O22" i="7"/>
  <c r="O7" i="5"/>
  <c r="O26" i="3"/>
  <c r="O21" i="5"/>
  <c r="O13" i="7"/>
  <c r="O30" i="3"/>
  <c r="O19" i="3"/>
  <c r="O11" i="6"/>
  <c r="O9" i="5"/>
  <c r="O30" i="6"/>
  <c r="O31" i="3"/>
  <c r="O14" i="3"/>
  <c r="O10" i="3"/>
  <c r="O28" i="5"/>
  <c r="O27" i="3"/>
  <c r="O15" i="4"/>
  <c r="O10" i="4"/>
  <c r="O14" i="6"/>
  <c r="O2" i="4"/>
  <c r="O38" i="1"/>
  <c r="O4" i="8" s="1"/>
  <c r="O30" i="7"/>
  <c r="O24" i="6"/>
  <c r="O2" i="7"/>
  <c r="O13" i="6"/>
  <c r="O19" i="4"/>
  <c r="O28" i="6"/>
  <c r="O21" i="3"/>
  <c r="O16" i="6"/>
  <c r="O9" i="4"/>
  <c r="O33" i="3"/>
  <c r="O9" i="6"/>
  <c r="O12" i="7"/>
  <c r="O16" i="4"/>
  <c r="O22" i="3"/>
  <c r="O3" i="3"/>
  <c r="O28" i="4"/>
  <c r="O22" i="6"/>
  <c r="O3" i="5"/>
  <c r="O3" i="6"/>
  <c r="O2" i="6"/>
  <c r="O37" i="1"/>
  <c r="O3" i="8" s="1"/>
  <c r="O25" i="5"/>
  <c r="O16" i="7"/>
  <c r="O31" i="4"/>
  <c r="O28" i="3"/>
  <c r="O15" i="6"/>
  <c r="O14" i="4"/>
  <c r="O13" i="4"/>
  <c r="O33" i="4"/>
  <c r="O11" i="7"/>
  <c r="O19" i="7"/>
  <c r="O3" i="4"/>
  <c r="O9" i="3"/>
  <c r="O4" i="3"/>
  <c r="O7" i="6"/>
  <c r="O15" i="7"/>
  <c r="O4" i="5"/>
  <c r="O14" i="5"/>
  <c r="O34" i="5"/>
  <c r="O12" i="4"/>
  <c r="O26" i="7"/>
  <c r="O2" i="5"/>
  <c r="O30" i="5"/>
  <c r="O29" i="3"/>
  <c r="O24" i="3"/>
  <c r="O24" i="5"/>
  <c r="O16" i="3"/>
  <c r="O15" i="3"/>
  <c r="O25" i="4"/>
  <c r="O31" i="7"/>
  <c r="O11" i="5"/>
  <c r="O14" i="7"/>
  <c r="O25" i="7"/>
  <c r="O22" i="4"/>
  <c r="O31" i="5"/>
  <c r="O29" i="5"/>
  <c r="O27" i="6"/>
  <c r="O30" i="4"/>
  <c r="O13" i="3"/>
  <c r="O24" i="4"/>
  <c r="O12" i="6"/>
  <c r="O26" i="5"/>
  <c r="O11" i="4"/>
  <c r="O21" i="7"/>
  <c r="O4" i="7"/>
  <c r="O15" i="5"/>
  <c r="O27" i="7"/>
  <c r="O4" i="4"/>
  <c r="O19" i="5"/>
  <c r="O4" i="6"/>
  <c r="O21" i="4"/>
  <c r="O25" i="6"/>
  <c r="P23" i="1"/>
  <c r="O23" i="6"/>
  <c r="O23" i="4"/>
  <c r="O23" i="7"/>
  <c r="O23" i="3"/>
  <c r="O23" i="5"/>
  <c r="M12" i="8"/>
  <c r="M37" i="6"/>
  <c r="P32" i="1"/>
  <c r="O32" i="7"/>
  <c r="O32" i="6"/>
  <c r="O32" i="3"/>
  <c r="O32" i="4"/>
  <c r="O32" i="5"/>
  <c r="N36" i="4"/>
  <c r="M37" i="3"/>
  <c r="M16" i="8"/>
  <c r="L6" i="10"/>
  <c r="L13" i="10" s="1"/>
  <c r="L25" i="8"/>
  <c r="L26" i="8" s="1"/>
  <c r="P5" i="1"/>
  <c r="O5" i="5"/>
  <c r="O5" i="3"/>
  <c r="O5" i="7"/>
  <c r="O5" i="4"/>
  <c r="O5" i="6"/>
  <c r="L4" i="10"/>
  <c r="L17" i="8"/>
  <c r="N36" i="6"/>
  <c r="Q34" i="1"/>
  <c r="P34" i="7"/>
  <c r="P34" i="6"/>
  <c r="P8" i="1"/>
  <c r="O8" i="7"/>
  <c r="O8" i="6"/>
  <c r="O8" i="3"/>
  <c r="O8" i="5"/>
  <c r="O8" i="4"/>
  <c r="P6" i="1"/>
  <c r="O6" i="7"/>
  <c r="O6" i="3"/>
  <c r="O6" i="5"/>
  <c r="O6" i="4"/>
  <c r="O6" i="6"/>
  <c r="L3" i="10"/>
  <c r="L11" i="10" s="1"/>
  <c r="L13" i="8"/>
  <c r="L14" i="8" s="1"/>
  <c r="L5" i="10"/>
  <c r="L12" i="10" s="1"/>
  <c r="L21" i="8"/>
  <c r="L22" i="8" s="1"/>
  <c r="M37" i="7"/>
  <c r="M8" i="8"/>
  <c r="M37" i="5"/>
  <c r="M24" i="8"/>
  <c r="P18" i="1"/>
  <c r="O18" i="7"/>
  <c r="O18" i="5"/>
  <c r="O18" i="4"/>
  <c r="O18" i="3"/>
  <c r="O18" i="6"/>
  <c r="L9" i="8"/>
  <c r="L10" i="8" s="1"/>
  <c r="L2" i="10"/>
  <c r="L10" i="10" s="1"/>
  <c r="P17" i="1"/>
  <c r="O17" i="7"/>
  <c r="O17" i="6"/>
  <c r="O17" i="4"/>
  <c r="O17" i="5"/>
  <c r="O17" i="3"/>
  <c r="O34" i="4"/>
  <c r="T22" i="1"/>
  <c r="R28" i="1"/>
  <c r="S24" i="1"/>
  <c r="S3" i="1"/>
  <c r="R21" i="1"/>
  <c r="S11" i="1"/>
  <c r="R26" i="1"/>
  <c r="N4" i="10"/>
  <c r="N17" i="8"/>
  <c r="P34" i="5" l="1"/>
  <c r="N37" i="7"/>
  <c r="N8" i="8"/>
  <c r="Q32" i="1"/>
  <c r="P32" i="4"/>
  <c r="P32" i="5"/>
  <c r="P32" i="3"/>
  <c r="P32" i="6"/>
  <c r="P32" i="7"/>
  <c r="M21" i="8"/>
  <c r="M22" i="8" s="1"/>
  <c r="M5" i="10"/>
  <c r="M12" i="10" s="1"/>
  <c r="Q5" i="1"/>
  <c r="P5" i="4"/>
  <c r="P5" i="6"/>
  <c r="P5" i="3"/>
  <c r="P5" i="7"/>
  <c r="P5" i="5"/>
  <c r="M13" i="8"/>
  <c r="M14" i="8" s="1"/>
  <c r="M3" i="10"/>
  <c r="M11" i="10" s="1"/>
  <c r="O36" i="6"/>
  <c r="R34" i="1"/>
  <c r="Q34" i="7"/>
  <c r="Q34" i="6"/>
  <c r="P34" i="3"/>
  <c r="O36" i="5"/>
  <c r="Q18" i="1"/>
  <c r="P18" i="7"/>
  <c r="P18" i="5"/>
  <c r="P18" i="4"/>
  <c r="P18" i="6"/>
  <c r="P18" i="3"/>
  <c r="M25" i="8"/>
  <c r="M26" i="8" s="1"/>
  <c r="M6" i="10"/>
  <c r="M13" i="10" s="1"/>
  <c r="Q6" i="1"/>
  <c r="P6" i="4"/>
  <c r="P6" i="7"/>
  <c r="P6" i="3"/>
  <c r="P6" i="6"/>
  <c r="P6" i="5"/>
  <c r="P34" i="4"/>
  <c r="N12" i="8"/>
  <c r="N37" i="6"/>
  <c r="M4" i="10"/>
  <c r="M17" i="8"/>
  <c r="Q17" i="1"/>
  <c r="P17" i="7"/>
  <c r="P17" i="4"/>
  <c r="P17" i="6"/>
  <c r="P17" i="3"/>
  <c r="P17" i="5"/>
  <c r="M2" i="10"/>
  <c r="M10" i="10" s="1"/>
  <c r="M9" i="8"/>
  <c r="M10" i="8" s="1"/>
  <c r="N20" i="8"/>
  <c r="N37" i="4"/>
  <c r="O36" i="7"/>
  <c r="O36" i="3"/>
  <c r="Q20" i="1"/>
  <c r="P20" i="6"/>
  <c r="P20" i="4"/>
  <c r="P20" i="5"/>
  <c r="P20" i="3"/>
  <c r="P20" i="7"/>
  <c r="N37" i="5"/>
  <c r="N24" i="8"/>
  <c r="Q23" i="1"/>
  <c r="P23" i="7"/>
  <c r="P23" i="5"/>
  <c r="P23" i="6"/>
  <c r="P23" i="3"/>
  <c r="P23" i="4"/>
  <c r="Q8" i="1"/>
  <c r="P8" i="7"/>
  <c r="P8" i="5"/>
  <c r="P8" i="6"/>
  <c r="P8" i="4"/>
  <c r="P8" i="3"/>
  <c r="O36" i="4"/>
  <c r="Q2" i="1"/>
  <c r="P13" i="6"/>
  <c r="P19" i="4"/>
  <c r="P16" i="5"/>
  <c r="P33" i="6"/>
  <c r="P3" i="6"/>
  <c r="P16" i="3"/>
  <c r="P30" i="3"/>
  <c r="P19" i="3"/>
  <c r="P3" i="7"/>
  <c r="P29" i="6"/>
  <c r="P29" i="4"/>
  <c r="P16" i="7"/>
  <c r="P3" i="4"/>
  <c r="P31" i="3"/>
  <c r="P33" i="3"/>
  <c r="P27" i="5"/>
  <c r="P22" i="5"/>
  <c r="P24" i="7"/>
  <c r="P11" i="6"/>
  <c r="P3" i="3"/>
  <c r="P16" i="6"/>
  <c r="P29" i="5"/>
  <c r="P31" i="7"/>
  <c r="P11" i="3"/>
  <c r="P24" i="5"/>
  <c r="P11" i="7"/>
  <c r="P33" i="5"/>
  <c r="P27" i="4"/>
  <c r="P31" i="5"/>
  <c r="P27" i="7"/>
  <c r="P24" i="6"/>
  <c r="P11" i="5"/>
  <c r="P30" i="7"/>
  <c r="P29" i="7"/>
  <c r="P27" i="3"/>
  <c r="P11" i="4"/>
  <c r="P31" i="4"/>
  <c r="P24" i="3"/>
  <c r="P19" i="6"/>
  <c r="P24" i="4"/>
  <c r="P13" i="4"/>
  <c r="P13" i="7"/>
  <c r="P16" i="4"/>
  <c r="P33" i="7"/>
  <c r="P29" i="3"/>
  <c r="P19" i="5"/>
  <c r="P13" i="5"/>
  <c r="P3" i="5"/>
  <c r="P31" i="6"/>
  <c r="P13" i="3"/>
  <c r="P27" i="6"/>
  <c r="P33" i="4"/>
  <c r="P25" i="5"/>
  <c r="P14" i="7"/>
  <c r="P9" i="7"/>
  <c r="P12" i="6"/>
  <c r="P9" i="3"/>
  <c r="P12" i="3"/>
  <c r="P28" i="3"/>
  <c r="P21" i="7"/>
  <c r="P30" i="5"/>
  <c r="P10" i="6"/>
  <c r="P2" i="7"/>
  <c r="P25" i="6"/>
  <c r="P25" i="4"/>
  <c r="P10" i="3"/>
  <c r="P15" i="5"/>
  <c r="P19" i="7"/>
  <c r="P10" i="5"/>
  <c r="P7" i="5"/>
  <c r="P26" i="7"/>
  <c r="P25" i="3"/>
  <c r="P10" i="7"/>
  <c r="P4" i="7"/>
  <c r="P21" i="5"/>
  <c r="P7" i="7"/>
  <c r="P15" i="3"/>
  <c r="P12" i="5"/>
  <c r="P9" i="6"/>
  <c r="P26" i="5"/>
  <c r="P15" i="4"/>
  <c r="P28" i="5"/>
  <c r="P4" i="4"/>
  <c r="P9" i="4"/>
  <c r="P21" i="6"/>
  <c r="P14" i="6"/>
  <c r="P38" i="1"/>
  <c r="P4" i="8" s="1"/>
  <c r="P25" i="7"/>
  <c r="P14" i="3"/>
  <c r="P26" i="6"/>
  <c r="P21" i="3"/>
  <c r="P2" i="3"/>
  <c r="P4" i="6"/>
  <c r="P30" i="4"/>
  <c r="P12" i="4"/>
  <c r="P26" i="4"/>
  <c r="P21" i="4"/>
  <c r="P4" i="3"/>
  <c r="P28" i="7"/>
  <c r="P22" i="6"/>
  <c r="P2" i="5"/>
  <c r="P7" i="3"/>
  <c r="P22" i="7"/>
  <c r="P22" i="3"/>
  <c r="P26" i="3"/>
  <c r="P22" i="4"/>
  <c r="P14" i="5"/>
  <c r="P9" i="5"/>
  <c r="P10" i="4"/>
  <c r="P15" i="6"/>
  <c r="P28" i="6"/>
  <c r="P7" i="4"/>
  <c r="P37" i="1"/>
  <c r="P3" i="8" s="1"/>
  <c r="P12" i="7"/>
  <c r="P2" i="6"/>
  <c r="P2" i="4"/>
  <c r="P15" i="7"/>
  <c r="P7" i="6"/>
  <c r="P30" i="6"/>
  <c r="P4" i="5"/>
  <c r="P14" i="4"/>
  <c r="P28" i="4"/>
  <c r="S21" i="1"/>
  <c r="S26" i="1"/>
  <c r="S28" i="1"/>
  <c r="T24" i="1"/>
  <c r="T3" i="1"/>
  <c r="T11" i="1"/>
  <c r="P36" i="7" l="1"/>
  <c r="R5" i="1"/>
  <c r="Q5" i="4"/>
  <c r="Q5" i="7"/>
  <c r="Q5" i="5"/>
  <c r="Q5" i="3"/>
  <c r="Q5" i="6"/>
  <c r="R20" i="1"/>
  <c r="Q20" i="3"/>
  <c r="Q20" i="6"/>
  <c r="Q20" i="5"/>
  <c r="Q20" i="4"/>
  <c r="Q20" i="7"/>
  <c r="R6" i="1"/>
  <c r="Q6" i="4"/>
  <c r="Q6" i="7"/>
  <c r="Q6" i="5"/>
  <c r="Q6" i="6"/>
  <c r="Q6" i="3"/>
  <c r="O37" i="3"/>
  <c r="O16" i="8"/>
  <c r="R17" i="1"/>
  <c r="Q17" i="6"/>
  <c r="Q17" i="7"/>
  <c r="Q17" i="4"/>
  <c r="Q17" i="3"/>
  <c r="Q17" i="5"/>
  <c r="R2" i="1"/>
  <c r="Q24" i="5"/>
  <c r="Q27" i="3"/>
  <c r="Q12" i="5"/>
  <c r="Q29" i="5"/>
  <c r="Q30" i="7"/>
  <c r="Q3" i="3"/>
  <c r="Q3" i="5"/>
  <c r="Q13" i="5"/>
  <c r="Q21" i="6"/>
  <c r="Q10" i="6"/>
  <c r="Q38" i="1"/>
  <c r="Q4" i="8" s="1"/>
  <c r="Q31" i="6"/>
  <c r="Q7" i="4"/>
  <c r="Q29" i="3"/>
  <c r="Q29" i="4"/>
  <c r="Q19" i="4"/>
  <c r="Q24" i="3"/>
  <c r="Q19" i="3"/>
  <c r="Q9" i="4"/>
  <c r="Q21" i="3"/>
  <c r="Q14" i="3"/>
  <c r="Q22" i="3"/>
  <c r="Q7" i="7"/>
  <c r="Q30" i="4"/>
  <c r="Q16" i="5"/>
  <c r="Q16" i="6"/>
  <c r="Q2" i="3"/>
  <c r="Q13" i="7"/>
  <c r="Q15" i="7"/>
  <c r="Q21" i="4"/>
  <c r="Q4" i="3"/>
  <c r="Q10" i="5"/>
  <c r="Q33" i="4"/>
  <c r="Q33" i="7"/>
  <c r="Q3" i="7"/>
  <c r="Q15" i="4"/>
  <c r="Q26" i="7"/>
  <c r="Q22" i="6"/>
  <c r="Q4" i="4"/>
  <c r="Q12" i="4"/>
  <c r="Q29" i="7"/>
  <c r="Q11" i="6"/>
  <c r="Q24" i="4"/>
  <c r="Q14" i="7"/>
  <c r="Q31" i="7"/>
  <c r="Q25" i="4"/>
  <c r="Q26" i="6"/>
  <c r="Q16" i="3"/>
  <c r="Q3" i="4"/>
  <c r="Q7" i="6"/>
  <c r="Q12" i="7"/>
  <c r="Q31" i="4"/>
  <c r="Q27" i="7"/>
  <c r="Q10" i="7"/>
  <c r="Q10" i="3"/>
  <c r="Q24" i="6"/>
  <c r="Q24" i="7"/>
  <c r="Q30" i="6"/>
  <c r="Q15" i="6"/>
  <c r="Q9" i="3"/>
  <c r="Q26" i="4"/>
  <c r="Q31" i="5"/>
  <c r="Q29" i="6"/>
  <c r="Q13" i="3"/>
  <c r="Q22" i="7"/>
  <c r="Q25" i="5"/>
  <c r="Q27" i="4"/>
  <c r="Q28" i="7"/>
  <c r="Q30" i="5"/>
  <c r="Q33" i="6"/>
  <c r="Q26" i="5"/>
  <c r="Q7" i="3"/>
  <c r="Q30" i="3"/>
  <c r="Q28" i="6"/>
  <c r="Q12" i="6"/>
  <c r="Q3" i="6"/>
  <c r="Q14" i="5"/>
  <c r="Q26" i="3"/>
  <c r="Q15" i="3"/>
  <c r="Q31" i="3"/>
  <c r="Q9" i="5"/>
  <c r="Q28" i="5"/>
  <c r="Q2" i="5"/>
  <c r="Q9" i="7"/>
  <c r="Q7" i="5"/>
  <c r="Q27" i="5"/>
  <c r="Q2" i="7"/>
  <c r="Q9" i="6"/>
  <c r="Q4" i="5"/>
  <c r="Q25" i="6"/>
  <c r="Q28" i="4"/>
  <c r="Q14" i="4"/>
  <c r="Q22" i="4"/>
  <c r="Q25" i="3"/>
  <c r="Q27" i="6"/>
  <c r="Q25" i="7"/>
  <c r="Q11" i="3"/>
  <c r="Q12" i="3"/>
  <c r="Q37" i="1"/>
  <c r="Q3" i="8" s="1"/>
  <c r="Q14" i="6"/>
  <c r="Q13" i="4"/>
  <c r="Q33" i="5"/>
  <c r="Q28" i="3"/>
  <c r="Q21" i="7"/>
  <c r="Q19" i="6"/>
  <c r="Q15" i="5"/>
  <c r="Q10" i="4"/>
  <c r="Q2" i="6"/>
  <c r="Q22" i="5"/>
  <c r="Q11" i="5"/>
  <c r="Q33" i="3"/>
  <c r="Q16" i="4"/>
  <c r="Q13" i="6"/>
  <c r="Q21" i="5"/>
  <c r="Q4" i="7"/>
  <c r="Q19" i="5"/>
  <c r="Q11" i="7"/>
  <c r="Q4" i="6"/>
  <c r="Q16" i="7"/>
  <c r="Q19" i="7"/>
  <c r="Q2" i="4"/>
  <c r="Q11" i="4"/>
  <c r="Q34" i="5"/>
  <c r="R34" i="7"/>
  <c r="S34" i="1"/>
  <c r="T34" i="1" s="1"/>
  <c r="R34" i="6"/>
  <c r="O37" i="4"/>
  <c r="O20" i="8"/>
  <c r="O8" i="8"/>
  <c r="O37" i="7"/>
  <c r="O37" i="6"/>
  <c r="O12" i="8"/>
  <c r="R23" i="1"/>
  <c r="Q23" i="6"/>
  <c r="Q23" i="4"/>
  <c r="Q23" i="7"/>
  <c r="Q23" i="5"/>
  <c r="Q23" i="3"/>
  <c r="N21" i="8"/>
  <c r="N22" i="8" s="1"/>
  <c r="N5" i="10"/>
  <c r="N12" i="10" s="1"/>
  <c r="N13" i="8"/>
  <c r="N14" i="8" s="1"/>
  <c r="N3" i="10"/>
  <c r="N11" i="10" s="1"/>
  <c r="P36" i="4"/>
  <c r="P36" i="3"/>
  <c r="N6" i="10"/>
  <c r="N13" i="10" s="1"/>
  <c r="N25" i="8"/>
  <c r="N26" i="8" s="1"/>
  <c r="P36" i="6"/>
  <c r="R32" i="1"/>
  <c r="Q32" i="4"/>
  <c r="Q32" i="7"/>
  <c r="Q32" i="5"/>
  <c r="Q32" i="3"/>
  <c r="Q32" i="6"/>
  <c r="P36" i="5"/>
  <c r="R8" i="1"/>
  <c r="Q8" i="3"/>
  <c r="Q8" i="4"/>
  <c r="Q8" i="6"/>
  <c r="Q8" i="5"/>
  <c r="Q8" i="7"/>
  <c r="R18" i="1"/>
  <c r="Q18" i="4"/>
  <c r="Q18" i="5"/>
  <c r="Q18" i="7"/>
  <c r="Q18" i="6"/>
  <c r="Q18" i="3"/>
  <c r="N2" i="10"/>
  <c r="N10" i="10" s="1"/>
  <c r="N9" i="8"/>
  <c r="N10" i="8" s="1"/>
  <c r="Q34" i="4"/>
  <c r="O37" i="5"/>
  <c r="O24" i="8"/>
  <c r="Q34" i="3"/>
  <c r="T26" i="1"/>
  <c r="T21" i="1"/>
  <c r="T28" i="1"/>
  <c r="O3" i="10" l="1"/>
  <c r="O11" i="10" s="1"/>
  <c r="O13" i="8"/>
  <c r="O14" i="8" s="1"/>
  <c r="O21" i="8"/>
  <c r="O22" i="8" s="1"/>
  <c r="O5" i="10"/>
  <c r="O12" i="10" s="1"/>
  <c r="S17" i="1"/>
  <c r="R17" i="3"/>
  <c r="R17" i="6"/>
  <c r="R17" i="5"/>
  <c r="R17" i="7"/>
  <c r="R17" i="4"/>
  <c r="S18" i="1"/>
  <c r="R18" i="3"/>
  <c r="R18" i="7"/>
  <c r="R18" i="4"/>
  <c r="R18" i="5"/>
  <c r="R18" i="6"/>
  <c r="S32" i="1"/>
  <c r="R32" i="6"/>
  <c r="R32" i="7"/>
  <c r="R32" i="3"/>
  <c r="R32" i="4"/>
  <c r="R32" i="5"/>
  <c r="O4" i="10"/>
  <c r="O17" i="8"/>
  <c r="S20" i="1"/>
  <c r="R20" i="7"/>
  <c r="R20" i="3"/>
  <c r="R20" i="5"/>
  <c r="R20" i="6"/>
  <c r="R20" i="4"/>
  <c r="P12" i="8"/>
  <c r="P37" i="6"/>
  <c r="Q36" i="7"/>
  <c r="Q36" i="3"/>
  <c r="O25" i="8"/>
  <c r="O26" i="8" s="1"/>
  <c r="O6" i="10"/>
  <c r="O13" i="10" s="1"/>
  <c r="S23" i="1"/>
  <c r="R23" i="6"/>
  <c r="R23" i="3"/>
  <c r="R23" i="4"/>
  <c r="R23" i="5"/>
  <c r="R23" i="7"/>
  <c r="Q36" i="4"/>
  <c r="P37" i="3"/>
  <c r="P16" i="8"/>
  <c r="Q36" i="6"/>
  <c r="S2" i="1"/>
  <c r="R16" i="7"/>
  <c r="R13" i="6"/>
  <c r="R7" i="5"/>
  <c r="R22" i="5"/>
  <c r="R14" i="4"/>
  <c r="R19" i="6"/>
  <c r="R31" i="3"/>
  <c r="R15" i="7"/>
  <c r="R4" i="3"/>
  <c r="R33" i="3"/>
  <c r="R10" i="5"/>
  <c r="R29" i="7"/>
  <c r="R22" i="3"/>
  <c r="R25" i="7"/>
  <c r="R13" i="3"/>
  <c r="R26" i="5"/>
  <c r="R16" i="3"/>
  <c r="R4" i="6"/>
  <c r="R7" i="7"/>
  <c r="R16" i="5"/>
  <c r="R13" i="7"/>
  <c r="R15" i="6"/>
  <c r="R29" i="4"/>
  <c r="R26" i="6"/>
  <c r="R11" i="6"/>
  <c r="R26" i="4"/>
  <c r="R30" i="7"/>
  <c r="R33" i="7"/>
  <c r="R29" i="5"/>
  <c r="R31" i="7"/>
  <c r="R21" i="7"/>
  <c r="R2" i="4"/>
  <c r="R25" i="5"/>
  <c r="R7" i="6"/>
  <c r="R24" i="4"/>
  <c r="R26" i="3"/>
  <c r="R28" i="7"/>
  <c r="R30" i="4"/>
  <c r="R14" i="7"/>
  <c r="R12" i="4"/>
  <c r="R30" i="3"/>
  <c r="R12" i="3"/>
  <c r="R10" i="3"/>
  <c r="R29" i="6"/>
  <c r="R19" i="3"/>
  <c r="R2" i="6"/>
  <c r="R25" i="6"/>
  <c r="R15" i="3"/>
  <c r="R21" i="5"/>
  <c r="R12" i="5"/>
  <c r="R9" i="6"/>
  <c r="R2" i="5"/>
  <c r="R28" i="6"/>
  <c r="R9" i="3"/>
  <c r="R10" i="4"/>
  <c r="R37" i="1"/>
  <c r="R3" i="8" s="1"/>
  <c r="R21" i="6"/>
  <c r="R9" i="7"/>
  <c r="R33" i="4"/>
  <c r="R31" i="5"/>
  <c r="R28" i="5"/>
  <c r="R19" i="5"/>
  <c r="R34" i="5"/>
  <c r="R31" i="6"/>
  <c r="R7" i="3"/>
  <c r="R38" i="1"/>
  <c r="R4" i="8" s="1"/>
  <c r="R19" i="4"/>
  <c r="R3" i="7"/>
  <c r="R29" i="3"/>
  <c r="R27" i="6"/>
  <c r="R7" i="4"/>
  <c r="R21" i="3"/>
  <c r="R22" i="6"/>
  <c r="R30" i="5"/>
  <c r="R34" i="3"/>
  <c r="R3" i="5"/>
  <c r="R28" i="4"/>
  <c r="R25" i="4"/>
  <c r="R24" i="7"/>
  <c r="R14" i="6"/>
  <c r="R12" i="6"/>
  <c r="R31" i="4"/>
  <c r="R21" i="4"/>
  <c r="R3" i="3"/>
  <c r="R9" i="4"/>
  <c r="R28" i="3"/>
  <c r="R16" i="4"/>
  <c r="R22" i="4"/>
  <c r="R11" i="4"/>
  <c r="R25" i="3"/>
  <c r="R12" i="7"/>
  <c r="R34" i="4"/>
  <c r="R13" i="5"/>
  <c r="R4" i="5"/>
  <c r="R3" i="6"/>
  <c r="R4" i="7"/>
  <c r="R14" i="5"/>
  <c r="R27" i="7"/>
  <c r="R11" i="7"/>
  <c r="R33" i="5"/>
  <c r="R33" i="6"/>
  <c r="R2" i="3"/>
  <c r="R24" i="3"/>
  <c r="R27" i="3"/>
  <c r="R24" i="5"/>
  <c r="R15" i="4"/>
  <c r="R24" i="6"/>
  <c r="R11" i="3"/>
  <c r="R15" i="5"/>
  <c r="R11" i="5"/>
  <c r="R27" i="5"/>
  <c r="R13" i="4"/>
  <c r="R4" i="4"/>
  <c r="R9" i="5"/>
  <c r="R30" i="6"/>
  <c r="R19" i="7"/>
  <c r="R3" i="4"/>
  <c r="R26" i="7"/>
  <c r="R10" i="6"/>
  <c r="R16" i="6"/>
  <c r="R27" i="4"/>
  <c r="R14" i="3"/>
  <c r="R22" i="7"/>
  <c r="R2" i="7"/>
  <c r="R10" i="7"/>
  <c r="S8" i="1"/>
  <c r="R8" i="6"/>
  <c r="R8" i="4"/>
  <c r="R8" i="7"/>
  <c r="R8" i="5"/>
  <c r="R8" i="3"/>
  <c r="P37" i="5"/>
  <c r="P24" i="8"/>
  <c r="O9" i="8"/>
  <c r="O10" i="8" s="1"/>
  <c r="O2" i="10"/>
  <c r="O10" i="10" s="1"/>
  <c r="S6" i="1"/>
  <c r="R6" i="3"/>
  <c r="R6" i="6"/>
  <c r="R6" i="7"/>
  <c r="R6" i="4"/>
  <c r="R6" i="5"/>
  <c r="P20" i="8"/>
  <c r="P37" i="4"/>
  <c r="S5" i="1"/>
  <c r="R5" i="7"/>
  <c r="R5" i="4"/>
  <c r="R5" i="5"/>
  <c r="R5" i="6"/>
  <c r="R5" i="3"/>
  <c r="Q36" i="5"/>
  <c r="P8" i="8"/>
  <c r="P37" i="7"/>
  <c r="S34" i="3" l="1"/>
  <c r="Q37" i="5"/>
  <c r="Q24" i="8"/>
  <c r="P3" i="10"/>
  <c r="P11" i="10" s="1"/>
  <c r="P13" i="8"/>
  <c r="P14" i="8" s="1"/>
  <c r="T8" i="1"/>
  <c r="S8" i="7"/>
  <c r="S8" i="6"/>
  <c r="S8" i="5"/>
  <c r="S8" i="3"/>
  <c r="S8" i="4"/>
  <c r="R36" i="3"/>
  <c r="T6" i="1"/>
  <c r="S6" i="3"/>
  <c r="S6" i="4"/>
  <c r="S6" i="5"/>
  <c r="S6" i="7"/>
  <c r="S6" i="6"/>
  <c r="R36" i="7"/>
  <c r="R36" i="5"/>
  <c r="T32" i="1"/>
  <c r="S32" i="5"/>
  <c r="S32" i="4"/>
  <c r="S32" i="7"/>
  <c r="S32" i="6"/>
  <c r="S32" i="3"/>
  <c r="S34" i="7"/>
  <c r="T23" i="1"/>
  <c r="S23" i="3"/>
  <c r="S23" i="7"/>
  <c r="S23" i="5"/>
  <c r="S23" i="4"/>
  <c r="S23" i="6"/>
  <c r="S34" i="5"/>
  <c r="T17" i="1"/>
  <c r="S17" i="4"/>
  <c r="S17" i="6"/>
  <c r="S17" i="5"/>
  <c r="S17" i="7"/>
  <c r="S17" i="3"/>
  <c r="T5" i="1"/>
  <c r="S5" i="4"/>
  <c r="S5" i="6"/>
  <c r="S5" i="7"/>
  <c r="S5" i="5"/>
  <c r="S5" i="3"/>
  <c r="P25" i="8"/>
  <c r="P26" i="8" s="1"/>
  <c r="P6" i="10"/>
  <c r="P13" i="10" s="1"/>
  <c r="P21" i="8"/>
  <c r="P22" i="8" s="1"/>
  <c r="P5" i="10"/>
  <c r="P12" i="10" s="1"/>
  <c r="S34" i="6"/>
  <c r="T2" i="1"/>
  <c r="S24" i="5"/>
  <c r="S13" i="6"/>
  <c r="S22" i="3"/>
  <c r="S31" i="6"/>
  <c r="S12" i="3"/>
  <c r="S30" i="5"/>
  <c r="S14" i="5"/>
  <c r="S3" i="5"/>
  <c r="S25" i="3"/>
  <c r="S25" i="5"/>
  <c r="S7" i="3"/>
  <c r="S3" i="3"/>
  <c r="S2" i="6"/>
  <c r="S15" i="6"/>
  <c r="S24" i="6"/>
  <c r="S22" i="4"/>
  <c r="S15" i="5"/>
  <c r="S33" i="7"/>
  <c r="S19" i="4"/>
  <c r="S28" i="4"/>
  <c r="S29" i="4"/>
  <c r="S16" i="3"/>
  <c r="S16" i="7"/>
  <c r="S7" i="6"/>
  <c r="S11" i="6"/>
  <c r="S21" i="7"/>
  <c r="S14" i="6"/>
  <c r="S9" i="6"/>
  <c r="S10" i="3"/>
  <c r="S37" i="1"/>
  <c r="S3" i="8" s="1"/>
  <c r="S33" i="3"/>
  <c r="S28" i="5"/>
  <c r="S13" i="7"/>
  <c r="S4" i="3"/>
  <c r="S21" i="4"/>
  <c r="S11" i="3"/>
  <c r="S28" i="3"/>
  <c r="S15" i="3"/>
  <c r="S10" i="7"/>
  <c r="S21" i="5"/>
  <c r="S11" i="7"/>
  <c r="S15" i="7"/>
  <c r="S22" i="5"/>
  <c r="S30" i="4"/>
  <c r="S28" i="6"/>
  <c r="S11" i="4"/>
  <c r="S12" i="4"/>
  <c r="S10" i="6"/>
  <c r="S27" i="6"/>
  <c r="S11" i="5"/>
  <c r="S31" i="7"/>
  <c r="S21" i="6"/>
  <c r="S7" i="7"/>
  <c r="S27" i="5"/>
  <c r="S19" i="5"/>
  <c r="S10" i="4"/>
  <c r="S24" i="4"/>
  <c r="S33" i="6"/>
  <c r="S16" i="5"/>
  <c r="S2" i="7"/>
  <c r="S33" i="4"/>
  <c r="S21" i="3"/>
  <c r="S14" i="4"/>
  <c r="S30" i="6"/>
  <c r="S30" i="7"/>
  <c r="S2" i="3"/>
  <c r="S9" i="7"/>
  <c r="S19" i="7"/>
  <c r="S24" i="3"/>
  <c r="S7" i="4"/>
  <c r="S26" i="4"/>
  <c r="S31" i="3"/>
  <c r="S26" i="7"/>
  <c r="S16" i="4"/>
  <c r="S33" i="5"/>
  <c r="S29" i="6"/>
  <c r="S4" i="4"/>
  <c r="S12" i="7"/>
  <c r="S25" i="7"/>
  <c r="S2" i="4"/>
  <c r="S22" i="6"/>
  <c r="S38" i="1"/>
  <c r="S4" i="8" s="1"/>
  <c r="S13" i="5"/>
  <c r="S26" i="6"/>
  <c r="S3" i="6"/>
  <c r="S19" i="6"/>
  <c r="S13" i="3"/>
  <c r="S29" i="7"/>
  <c r="S14" i="3"/>
  <c r="S31" i="5"/>
  <c r="S13" i="4"/>
  <c r="S30" i="3"/>
  <c r="S26" i="5"/>
  <c r="S4" i="5"/>
  <c r="S12" i="5"/>
  <c r="S29" i="5"/>
  <c r="S10" i="5"/>
  <c r="S25" i="4"/>
  <c r="S12" i="6"/>
  <c r="S27" i="4"/>
  <c r="S7" i="5"/>
  <c r="S27" i="3"/>
  <c r="S9" i="4"/>
  <c r="S3" i="4"/>
  <c r="S3" i="7"/>
  <c r="S26" i="3"/>
  <c r="S9" i="5"/>
  <c r="S2" i="5"/>
  <c r="S14" i="7"/>
  <c r="S29" i="3"/>
  <c r="S25" i="6"/>
  <c r="S31" i="4"/>
  <c r="S9" i="3"/>
  <c r="S24" i="7"/>
  <c r="S15" i="4"/>
  <c r="S4" i="6"/>
  <c r="S4" i="7"/>
  <c r="S19" i="3"/>
  <c r="S27" i="7"/>
  <c r="S28" i="7"/>
  <c r="S16" i="6"/>
  <c r="S22" i="7"/>
  <c r="S34" i="4"/>
  <c r="Q37" i="6"/>
  <c r="Q12" i="8"/>
  <c r="P2" i="10"/>
  <c r="P10" i="10" s="1"/>
  <c r="P9" i="8"/>
  <c r="P10" i="8" s="1"/>
  <c r="R36" i="6"/>
  <c r="P17" i="8"/>
  <c r="P4" i="10"/>
  <c r="Q37" i="3"/>
  <c r="Q16" i="8"/>
  <c r="T20" i="1"/>
  <c r="S20" i="5"/>
  <c r="S20" i="3"/>
  <c r="S20" i="4"/>
  <c r="S20" i="7"/>
  <c r="S20" i="6"/>
  <c r="R36" i="4"/>
  <c r="Q37" i="4"/>
  <c r="Q20" i="8"/>
  <c r="Q8" i="8"/>
  <c r="Q37" i="7"/>
  <c r="T18" i="1"/>
  <c r="S18" i="5"/>
  <c r="S18" i="4"/>
  <c r="S18" i="7"/>
  <c r="S18" i="3"/>
  <c r="S18" i="6"/>
  <c r="T6" i="6" l="1"/>
  <c r="T6" i="7"/>
  <c r="T6" i="4"/>
  <c r="T6" i="3"/>
  <c r="T6" i="5"/>
  <c r="Q5" i="10"/>
  <c r="Q12" i="10" s="1"/>
  <c r="Q21" i="8"/>
  <c r="Q22" i="8" s="1"/>
  <c r="S36" i="4"/>
  <c r="R37" i="3"/>
  <c r="R16" i="8"/>
  <c r="R37" i="6"/>
  <c r="R12" i="8"/>
  <c r="R37" i="4"/>
  <c r="R20" i="8"/>
  <c r="T17" i="3"/>
  <c r="T17" i="5"/>
  <c r="T17" i="6"/>
  <c r="T17" i="7"/>
  <c r="T17" i="4"/>
  <c r="T32" i="4"/>
  <c r="T32" i="7"/>
  <c r="T32" i="3"/>
  <c r="T32" i="6"/>
  <c r="T32" i="5"/>
  <c r="Q3" i="10"/>
  <c r="Q11" i="10" s="1"/>
  <c r="Q13" i="8"/>
  <c r="Q14" i="8" s="1"/>
  <c r="R24" i="8"/>
  <c r="R37" i="5"/>
  <c r="R8" i="8"/>
  <c r="R37" i="7"/>
  <c r="T8" i="4"/>
  <c r="T8" i="6"/>
  <c r="T8" i="7"/>
  <c r="T8" i="3"/>
  <c r="T8" i="5"/>
  <c r="T20" i="5"/>
  <c r="T20" i="6"/>
  <c r="T20" i="3"/>
  <c r="T20" i="7"/>
  <c r="T20" i="4"/>
  <c r="S36" i="6"/>
  <c r="T5" i="5"/>
  <c r="T5" i="4"/>
  <c r="T5" i="7"/>
  <c r="T5" i="6"/>
  <c r="T5" i="3"/>
  <c r="S36" i="7"/>
  <c r="T22" i="6"/>
  <c r="T29" i="7"/>
  <c r="T13" i="6"/>
  <c r="T16" i="3"/>
  <c r="T31" i="3"/>
  <c r="T24" i="7"/>
  <c r="T24" i="3"/>
  <c r="T26" i="7"/>
  <c r="T27" i="7"/>
  <c r="T3" i="3"/>
  <c r="T21" i="6"/>
  <c r="T27" i="6"/>
  <c r="T2" i="4"/>
  <c r="T4" i="7"/>
  <c r="T7" i="5"/>
  <c r="T25" i="6"/>
  <c r="T29" i="6"/>
  <c r="T21" i="4"/>
  <c r="T10" i="6"/>
  <c r="T26" i="6"/>
  <c r="T3" i="4"/>
  <c r="T21" i="7"/>
  <c r="T16" i="6"/>
  <c r="T9" i="3"/>
  <c r="T12" i="7"/>
  <c r="T15" i="6"/>
  <c r="T14" i="5"/>
  <c r="T16" i="5"/>
  <c r="T30" i="4"/>
  <c r="T15" i="5"/>
  <c r="T26" i="4"/>
  <c r="T15" i="7"/>
  <c r="T31" i="4"/>
  <c r="T26" i="5"/>
  <c r="T21" i="5"/>
  <c r="T12" i="6"/>
  <c r="T38" i="1"/>
  <c r="T4" i="8" s="1"/>
  <c r="T34" i="6"/>
  <c r="T28" i="7"/>
  <c r="T33" i="7"/>
  <c r="T30" i="6"/>
  <c r="T11" i="4"/>
  <c r="T28" i="6"/>
  <c r="T26" i="3"/>
  <c r="T24" i="6"/>
  <c r="T21" i="3"/>
  <c r="T2" i="6"/>
  <c r="T25" i="4"/>
  <c r="T4" i="3"/>
  <c r="T7" i="3"/>
  <c r="T27" i="5"/>
  <c r="T3" i="6"/>
  <c r="T19" i="7"/>
  <c r="T15" i="4"/>
  <c r="T13" i="5"/>
  <c r="T30" i="5"/>
  <c r="T22" i="4"/>
  <c r="T28" i="5"/>
  <c r="T24" i="5"/>
  <c r="T34" i="4"/>
  <c r="T19" i="3"/>
  <c r="T10" i="3"/>
  <c r="T2" i="7"/>
  <c r="T9" i="6"/>
  <c r="T10" i="7"/>
  <c r="T14" i="6"/>
  <c r="T29" i="5"/>
  <c r="T33" i="3"/>
  <c r="T7" i="4"/>
  <c r="T19" i="4"/>
  <c r="T16" i="7"/>
  <c r="T28" i="4"/>
  <c r="T34" i="5"/>
  <c r="T2" i="5"/>
  <c r="T7" i="6"/>
  <c r="T14" i="4"/>
  <c r="T12" i="5"/>
  <c r="T3" i="7"/>
  <c r="T22" i="3"/>
  <c r="T25" i="7"/>
  <c r="T9" i="5"/>
  <c r="T33" i="4"/>
  <c r="T11" i="3"/>
  <c r="T19" i="6"/>
  <c r="T19" i="5"/>
  <c r="T28" i="3"/>
  <c r="T10" i="5"/>
  <c r="T12" i="4"/>
  <c r="T9" i="7"/>
  <c r="T4" i="6"/>
  <c r="T31" i="5"/>
  <c r="T4" i="4"/>
  <c r="T9" i="4"/>
  <c r="T11" i="7"/>
  <c r="T14" i="7"/>
  <c r="T22" i="5"/>
  <c r="T24" i="4"/>
  <c r="T27" i="3"/>
  <c r="T22" i="7"/>
  <c r="T7" i="7"/>
  <c r="T11" i="6"/>
  <c r="T12" i="3"/>
  <c r="T33" i="6"/>
  <c r="T34" i="3"/>
  <c r="T13" i="4"/>
  <c r="T30" i="3"/>
  <c r="T33" i="5"/>
  <c r="T29" i="3"/>
  <c r="T31" i="6"/>
  <c r="T15" i="3"/>
  <c r="T10" i="4"/>
  <c r="T14" i="3"/>
  <c r="T37" i="1"/>
  <c r="T3" i="8" s="1"/>
  <c r="T34" i="7"/>
  <c r="T25" i="3"/>
  <c r="T25" i="5"/>
  <c r="T31" i="7"/>
  <c r="T11" i="5"/>
  <c r="T30" i="7"/>
  <c r="T3" i="5"/>
  <c r="T27" i="4"/>
  <c r="T16" i="4"/>
  <c r="T4" i="5"/>
  <c r="T2" i="3"/>
  <c r="T13" i="7"/>
  <c r="T13" i="3"/>
  <c r="T29" i="4"/>
  <c r="T23" i="3"/>
  <c r="T23" i="5"/>
  <c r="T23" i="7"/>
  <c r="T23" i="6"/>
  <c r="T23" i="4"/>
  <c r="S36" i="3"/>
  <c r="S36" i="5"/>
  <c r="Q9" i="8"/>
  <c r="Q10" i="8" s="1"/>
  <c r="Q2" i="10"/>
  <c r="Q10" i="10" s="1"/>
  <c r="T18" i="7"/>
  <c r="T18" i="5"/>
  <c r="T18" i="4"/>
  <c r="T18" i="3"/>
  <c r="T18" i="6"/>
  <c r="Q4" i="10"/>
  <c r="Q17" i="8"/>
  <c r="Q25" i="8"/>
  <c r="Q26" i="8" s="1"/>
  <c r="Q6" i="10"/>
  <c r="Q13" i="10" s="1"/>
  <c r="T36" i="4" l="1"/>
  <c r="S37" i="7"/>
  <c r="S8" i="8"/>
  <c r="R13" i="8"/>
  <c r="R14" i="8" s="1"/>
  <c r="R3" i="10"/>
  <c r="R11" i="10" s="1"/>
  <c r="T36" i="6"/>
  <c r="R4" i="10"/>
  <c r="R17" i="8"/>
  <c r="S20" i="8"/>
  <c r="S37" i="4"/>
  <c r="R2" i="10"/>
  <c r="R10" i="10" s="1"/>
  <c r="R9" i="8"/>
  <c r="R10" i="8" s="1"/>
  <c r="S37" i="6"/>
  <c r="S12" i="8"/>
  <c r="R25" i="8"/>
  <c r="R26" i="8" s="1"/>
  <c r="R6" i="10"/>
  <c r="R13" i="10" s="1"/>
  <c r="T36" i="3"/>
  <c r="T36" i="7"/>
  <c r="S16" i="8"/>
  <c r="S37" i="3"/>
  <c r="S24" i="8"/>
  <c r="S37" i="5"/>
  <c r="T36" i="5"/>
  <c r="R5" i="10"/>
  <c r="R12" i="10" s="1"/>
  <c r="R21" i="8"/>
  <c r="R22" i="8" s="1"/>
  <c r="T37" i="5" l="1"/>
  <c r="T24" i="8"/>
  <c r="S25" i="8"/>
  <c r="S26" i="8" s="1"/>
  <c r="S6" i="10"/>
  <c r="S13" i="10" s="1"/>
  <c r="S21" i="8"/>
  <c r="S22" i="8" s="1"/>
  <c r="S5" i="10"/>
  <c r="S12" i="10" s="1"/>
  <c r="S4" i="10"/>
  <c r="S17" i="8"/>
  <c r="T12" i="8"/>
  <c r="T37" i="6"/>
  <c r="S9" i="8"/>
  <c r="S10" i="8" s="1"/>
  <c r="S2" i="10"/>
  <c r="S10" i="10" s="1"/>
  <c r="T37" i="7"/>
  <c r="T8" i="8"/>
  <c r="T16" i="8"/>
  <c r="T37" i="3"/>
  <c r="S3" i="10"/>
  <c r="S11" i="10" s="1"/>
  <c r="S13" i="8"/>
  <c r="S14" i="8" s="1"/>
  <c r="T37" i="4"/>
  <c r="T20" i="8"/>
  <c r="T21" i="8" l="1"/>
  <c r="T22" i="8" s="1"/>
  <c r="T5" i="10"/>
  <c r="T12" i="10" s="1"/>
  <c r="T13" i="8"/>
  <c r="T14" i="8" s="1"/>
  <c r="T3" i="10"/>
  <c r="T11" i="10" s="1"/>
  <c r="T4" i="10"/>
  <c r="T17" i="8"/>
  <c r="T2" i="10"/>
  <c r="T10" i="10" s="1"/>
  <c r="T9" i="8"/>
  <c r="T10" i="8" s="1"/>
  <c r="T6" i="10"/>
  <c r="T13" i="10" s="1"/>
  <c r="T25" i="8"/>
  <c r="T26" i="8" s="1"/>
</calcChain>
</file>

<file path=xl/sharedStrings.xml><?xml version="1.0" encoding="utf-8"?>
<sst xmlns="http://schemas.openxmlformats.org/spreadsheetml/2006/main" count="289" uniqueCount="66">
  <si>
    <t>№</t>
  </si>
  <si>
    <t>916.1</t>
  </si>
  <si>
    <t>916.2</t>
  </si>
  <si>
    <t>916.3</t>
  </si>
  <si>
    <t>916.4</t>
  </si>
  <si>
    <t>911.1</t>
  </si>
  <si>
    <t>911.2</t>
  </si>
  <si>
    <t>911.3</t>
  </si>
  <si>
    <t>911.4</t>
  </si>
  <si>
    <t>911.5</t>
  </si>
  <si>
    <t>915.01</t>
  </si>
  <si>
    <t>915.02</t>
  </si>
  <si>
    <t>915.03</t>
  </si>
  <si>
    <t>915.04</t>
  </si>
  <si>
    <t>915.05</t>
  </si>
  <si>
    <t>913.1</t>
  </si>
  <si>
    <t>913.2</t>
  </si>
  <si>
    <t>913.3</t>
  </si>
  <si>
    <t>913.4</t>
  </si>
  <si>
    <t>913.5</t>
  </si>
  <si>
    <t>Брусника</t>
  </si>
  <si>
    <t>Вейник</t>
  </si>
  <si>
    <t>Вероника дубравная</t>
  </si>
  <si>
    <t>Герань</t>
  </si>
  <si>
    <t>Горошик лесной</t>
  </si>
  <si>
    <t>Грушанка</t>
  </si>
  <si>
    <t>Звездчатка жестколистная</t>
  </si>
  <si>
    <t>Земляника</t>
  </si>
  <si>
    <t>Золотарник</t>
  </si>
  <si>
    <t>Иван-чай</t>
  </si>
  <si>
    <t>Кислица</t>
  </si>
  <si>
    <t>Коротконожка</t>
  </si>
  <si>
    <t>Костяника</t>
  </si>
  <si>
    <t>Майник</t>
  </si>
  <si>
    <t>Марьянник</t>
  </si>
  <si>
    <t>Медуница</t>
  </si>
  <si>
    <t>Ожига волосистая</t>
  </si>
  <si>
    <t>Осочка</t>
  </si>
  <si>
    <t>Перловник</t>
  </si>
  <si>
    <t>Подмаренник северный</t>
  </si>
  <si>
    <t>Полевица</t>
  </si>
  <si>
    <t>Седмичник</t>
  </si>
  <si>
    <t>Сныть</t>
  </si>
  <si>
    <t>Фиалка собачья</t>
  </si>
  <si>
    <t>Черника</t>
  </si>
  <si>
    <t>Чина весенняя</t>
  </si>
  <si>
    <t>Чина луговая</t>
  </si>
  <si>
    <t>Щучка</t>
  </si>
  <si>
    <t>Ястребинка</t>
  </si>
  <si>
    <t>Ястребиночка</t>
  </si>
  <si>
    <t>Чина гороховидная</t>
  </si>
  <si>
    <t>Линнея северная</t>
  </si>
  <si>
    <t>Клевер люпиновидный</t>
  </si>
  <si>
    <t>M(q)</t>
  </si>
  <si>
    <t>D(q)</t>
  </si>
  <si>
    <t>t(q)</t>
  </si>
  <si>
    <t>q</t>
  </si>
  <si>
    <t>q = -2</t>
  </si>
  <si>
    <t>q = -1</t>
  </si>
  <si>
    <t>q = 1</t>
  </si>
  <si>
    <t>q = 2</t>
  </si>
  <si>
    <t>q = 3</t>
  </si>
  <si>
    <t>S</t>
  </si>
  <si>
    <t>N</t>
  </si>
  <si>
    <t>t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</si>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</sst>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0" borderId="1" xfId="0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Шаг</a:t>
            </a:r>
            <a:r>
              <a:rPr lang="ru-RU" baseline="0"/>
              <a:t> 1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forward val="3"/>
            <c:backward val="3"/>
            <c:dispRSqr val="0"/>
            <c:dispEq val="1"/>
            <c:trendlineLbl>
              <c:layout>
                <c:manualLayout>
                  <c:x val="-0.12678169035977102"/>
                  <c:y val="-5.67906542407212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Итого!$B$4:$T$4</c:f>
              <c:numCache>
                <c:formatCode>General</c:formatCode>
                <c:ptCount val="19"/>
                <c:pt idx="0">
                  <c:v>17.760000000000002</c:v>
                </c:pt>
                <c:pt idx="1">
                  <c:v>71.36</c:v>
                </c:pt>
                <c:pt idx="2">
                  <c:v>95.359999999999985</c:v>
                </c:pt>
                <c:pt idx="3">
                  <c:v>127.56</c:v>
                </c:pt>
                <c:pt idx="4">
                  <c:v>160.34</c:v>
                </c:pt>
                <c:pt idx="5">
                  <c:v>190.49000000000004</c:v>
                </c:pt>
                <c:pt idx="6">
                  <c:v>216.38000000000005</c:v>
                </c:pt>
                <c:pt idx="7">
                  <c:v>234.95000000000005</c:v>
                </c:pt>
                <c:pt idx="8">
                  <c:v>266.81</c:v>
                </c:pt>
                <c:pt idx="9">
                  <c:v>316.71000000000009</c:v>
                </c:pt>
                <c:pt idx="10">
                  <c:v>354.31000000000006</c:v>
                </c:pt>
                <c:pt idx="11">
                  <c:v>396.01</c:v>
                </c:pt>
                <c:pt idx="12">
                  <c:v>423.40999999999991</c:v>
                </c:pt>
                <c:pt idx="13">
                  <c:v>473.68999999999994</c:v>
                </c:pt>
                <c:pt idx="14">
                  <c:v>511.09000000000009</c:v>
                </c:pt>
                <c:pt idx="15">
                  <c:v>552.29000000000019</c:v>
                </c:pt>
                <c:pt idx="16">
                  <c:v>615.15</c:v>
                </c:pt>
                <c:pt idx="17">
                  <c:v>637.39999999999986</c:v>
                </c:pt>
                <c:pt idx="18">
                  <c:v>659.56999999999982</c:v>
                </c:pt>
              </c:numCache>
            </c:numRef>
          </c:xVal>
          <c:yVal>
            <c:numRef>
              <c:f>Итого!$B$3:$T$3</c:f>
              <c:numCache>
                <c:formatCode>General</c:formatCode>
                <c:ptCount val="19"/>
                <c:pt idx="0">
                  <c:v>13</c:v>
                </c:pt>
                <c:pt idx="1">
                  <c:v>15</c:v>
                </c:pt>
                <c:pt idx="2">
                  <c:v>17</c:v>
                </c:pt>
                <c:pt idx="3">
                  <c:v>17</c:v>
                </c:pt>
                <c:pt idx="4">
                  <c:v>26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33</c:v>
                </c:pt>
                <c:pt idx="18">
                  <c:v>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3D-4803-89EE-A3AB725DF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15280"/>
        <c:axId val="101552704"/>
      </c:scatterChart>
      <c:valAx>
        <c:axId val="1049152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552704"/>
        <c:crosses val="autoZero"/>
        <c:crossBetween val="midCat"/>
      </c:valAx>
      <c:valAx>
        <c:axId val="1015527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91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Шаг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Итого!$A$7</c:f>
              <c:strCache>
                <c:ptCount val="1"/>
                <c:pt idx="0">
                  <c:v>q = -2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backward val="10"/>
            <c:dispRSqr val="1"/>
            <c:dispEq val="1"/>
            <c:trendlineLbl>
              <c:layout>
                <c:manualLayout>
                  <c:x val="-0.29621123655222853"/>
                  <c:y val="-3.25187451319163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Итого!$B$4:$T$4</c:f>
              <c:numCache>
                <c:formatCode>General</c:formatCode>
                <c:ptCount val="19"/>
                <c:pt idx="0">
                  <c:v>17.760000000000002</c:v>
                </c:pt>
                <c:pt idx="1">
                  <c:v>71.36</c:v>
                </c:pt>
                <c:pt idx="2">
                  <c:v>95.359999999999985</c:v>
                </c:pt>
                <c:pt idx="3">
                  <c:v>127.56</c:v>
                </c:pt>
                <c:pt idx="4">
                  <c:v>160.34</c:v>
                </c:pt>
                <c:pt idx="5">
                  <c:v>190.49000000000004</c:v>
                </c:pt>
                <c:pt idx="6">
                  <c:v>216.38000000000005</c:v>
                </c:pt>
                <c:pt idx="7">
                  <c:v>234.95000000000005</c:v>
                </c:pt>
                <c:pt idx="8">
                  <c:v>266.81</c:v>
                </c:pt>
                <c:pt idx="9">
                  <c:v>316.71000000000009</c:v>
                </c:pt>
                <c:pt idx="10">
                  <c:v>354.31000000000006</c:v>
                </c:pt>
                <c:pt idx="11">
                  <c:v>396.01</c:v>
                </c:pt>
                <c:pt idx="12">
                  <c:v>423.40999999999991</c:v>
                </c:pt>
                <c:pt idx="13">
                  <c:v>473.68999999999994</c:v>
                </c:pt>
                <c:pt idx="14">
                  <c:v>511.09000000000009</c:v>
                </c:pt>
                <c:pt idx="15">
                  <c:v>552.29000000000019</c:v>
                </c:pt>
                <c:pt idx="16">
                  <c:v>615.15</c:v>
                </c:pt>
                <c:pt idx="17">
                  <c:v>637.39999999999986</c:v>
                </c:pt>
                <c:pt idx="18">
                  <c:v>659.56999999999982</c:v>
                </c:pt>
              </c:numCache>
            </c:numRef>
          </c:xVal>
          <c:yVal>
            <c:numRef>
              <c:f>Итого!$B$8:$T$8</c:f>
              <c:numCache>
                <c:formatCode>General</c:formatCode>
                <c:ptCount val="19"/>
                <c:pt idx="0">
                  <c:v>966863.0538823189</c:v>
                </c:pt>
                <c:pt idx="1">
                  <c:v>7941072.9905845681</c:v>
                </c:pt>
                <c:pt idx="2">
                  <c:v>3630656.1718342458</c:v>
                </c:pt>
                <c:pt idx="3">
                  <c:v>4736042.1922009652</c:v>
                </c:pt>
                <c:pt idx="4">
                  <c:v>391179808.83364451</c:v>
                </c:pt>
                <c:pt idx="5">
                  <c:v>411593318.88438779</c:v>
                </c:pt>
                <c:pt idx="6">
                  <c:v>494458168.79874223</c:v>
                </c:pt>
                <c:pt idx="7">
                  <c:v>32582087.387766391</c:v>
                </c:pt>
                <c:pt idx="8">
                  <c:v>40761544.075742759</c:v>
                </c:pt>
                <c:pt idx="9">
                  <c:v>57390482.152486518</c:v>
                </c:pt>
                <c:pt idx="10">
                  <c:v>53745625.799267866</c:v>
                </c:pt>
                <c:pt idx="11">
                  <c:v>29460781.543580934</c:v>
                </c:pt>
                <c:pt idx="12">
                  <c:v>29276934.968171418</c:v>
                </c:pt>
                <c:pt idx="13">
                  <c:v>34018548.400734283</c:v>
                </c:pt>
                <c:pt idx="14">
                  <c:v>25871990.463264268</c:v>
                </c:pt>
                <c:pt idx="15">
                  <c:v>30033502.365809683</c:v>
                </c:pt>
                <c:pt idx="16">
                  <c:v>36841640.480184212</c:v>
                </c:pt>
                <c:pt idx="17">
                  <c:v>39287854.964680791</c:v>
                </c:pt>
                <c:pt idx="18">
                  <c:v>41943443.93704702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5A-493B-8807-3AAE37C639ED}"/>
            </c:ext>
          </c:extLst>
        </c:ser>
        <c:ser>
          <c:idx val="1"/>
          <c:order val="1"/>
          <c:tx>
            <c:strRef>
              <c:f>Итого!$A$11</c:f>
              <c:strCache>
                <c:ptCount val="1"/>
                <c:pt idx="0">
                  <c:v>q = -1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backward val="10"/>
            <c:dispRSqr val="1"/>
            <c:dispEq val="1"/>
            <c:trendlineLbl>
              <c:layout>
                <c:manualLayout>
                  <c:x val="-0.25869777392728399"/>
                  <c:y val="-2.30416738994519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Итого!$B$4:$T$4</c:f>
              <c:numCache>
                <c:formatCode>General</c:formatCode>
                <c:ptCount val="19"/>
                <c:pt idx="0">
                  <c:v>17.760000000000002</c:v>
                </c:pt>
                <c:pt idx="1">
                  <c:v>71.36</c:v>
                </c:pt>
                <c:pt idx="2">
                  <c:v>95.359999999999985</c:v>
                </c:pt>
                <c:pt idx="3">
                  <c:v>127.56</c:v>
                </c:pt>
                <c:pt idx="4">
                  <c:v>160.34</c:v>
                </c:pt>
                <c:pt idx="5">
                  <c:v>190.49000000000004</c:v>
                </c:pt>
                <c:pt idx="6">
                  <c:v>216.38000000000005</c:v>
                </c:pt>
                <c:pt idx="7">
                  <c:v>234.95000000000005</c:v>
                </c:pt>
                <c:pt idx="8">
                  <c:v>266.81</c:v>
                </c:pt>
                <c:pt idx="9">
                  <c:v>316.71000000000009</c:v>
                </c:pt>
                <c:pt idx="10">
                  <c:v>354.31000000000006</c:v>
                </c:pt>
                <c:pt idx="11">
                  <c:v>396.01</c:v>
                </c:pt>
                <c:pt idx="12">
                  <c:v>423.40999999999991</c:v>
                </c:pt>
                <c:pt idx="13">
                  <c:v>473.68999999999994</c:v>
                </c:pt>
                <c:pt idx="14">
                  <c:v>511.09000000000009</c:v>
                </c:pt>
                <c:pt idx="15">
                  <c:v>552.29000000000019</c:v>
                </c:pt>
                <c:pt idx="16">
                  <c:v>615.15</c:v>
                </c:pt>
                <c:pt idx="17">
                  <c:v>637.39999999999986</c:v>
                </c:pt>
                <c:pt idx="18">
                  <c:v>659.56999999999982</c:v>
                </c:pt>
              </c:numCache>
            </c:numRef>
          </c:xVal>
          <c:yVal>
            <c:numRef>
              <c:f>Итого!$B$12:$T$12</c:f>
              <c:numCache>
                <c:formatCode>General</c:formatCode>
                <c:ptCount val="19"/>
                <c:pt idx="0">
                  <c:v>2171.1965687645684</c:v>
                </c:pt>
                <c:pt idx="1">
                  <c:v>5117.4350776373085</c:v>
                </c:pt>
                <c:pt idx="2">
                  <c:v>4600.2466689026514</c:v>
                </c:pt>
                <c:pt idx="3">
                  <c:v>4725.8370567182074</c:v>
                </c:pt>
                <c:pt idx="4">
                  <c:v>38152.03224573459</c:v>
                </c:pt>
                <c:pt idx="5">
                  <c:v>37364.022967707242</c:v>
                </c:pt>
                <c:pt idx="6">
                  <c:v>35096.566046508917</c:v>
                </c:pt>
                <c:pt idx="7">
                  <c:v>15096.796821612863</c:v>
                </c:pt>
                <c:pt idx="8">
                  <c:v>16087.848363916661</c:v>
                </c:pt>
                <c:pt idx="9">
                  <c:v>18947.369139203176</c:v>
                </c:pt>
                <c:pt idx="10">
                  <c:v>17786.360995580377</c:v>
                </c:pt>
                <c:pt idx="11">
                  <c:v>15398.641790232896</c:v>
                </c:pt>
                <c:pt idx="12">
                  <c:v>15336.144898929888</c:v>
                </c:pt>
                <c:pt idx="13">
                  <c:v>16120.069595571653</c:v>
                </c:pt>
                <c:pt idx="14">
                  <c:v>15386.336002790847</c:v>
                </c:pt>
                <c:pt idx="15">
                  <c:v>16368.205825232832</c:v>
                </c:pt>
                <c:pt idx="16">
                  <c:v>17842.292057210383</c:v>
                </c:pt>
                <c:pt idx="17">
                  <c:v>18398.168915988022</c:v>
                </c:pt>
                <c:pt idx="18">
                  <c:v>18832.227118194151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5A-493B-8807-3AAE37C639ED}"/>
            </c:ext>
          </c:extLst>
        </c:ser>
        <c:ser>
          <c:idx val="2"/>
          <c:order val="2"/>
          <c:tx>
            <c:strRef>
              <c:f>Итого!$A$15</c:f>
              <c:strCache>
                <c:ptCount val="1"/>
                <c:pt idx="0">
                  <c:v>q = 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backward val="10"/>
            <c:dispRSqr val="1"/>
            <c:dispEq val="1"/>
            <c:trendlineLbl>
              <c:layout>
                <c:manualLayout>
                  <c:x val="-0.21983818383923276"/>
                  <c:y val="-5.10441644747135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Итого!$B$4:$T$4</c:f>
              <c:numCache>
                <c:formatCode>General</c:formatCode>
                <c:ptCount val="19"/>
                <c:pt idx="0">
                  <c:v>17.760000000000002</c:v>
                </c:pt>
                <c:pt idx="1">
                  <c:v>71.36</c:v>
                </c:pt>
                <c:pt idx="2">
                  <c:v>95.359999999999985</c:v>
                </c:pt>
                <c:pt idx="3">
                  <c:v>127.56</c:v>
                </c:pt>
                <c:pt idx="4">
                  <c:v>160.34</c:v>
                </c:pt>
                <c:pt idx="5">
                  <c:v>190.49000000000004</c:v>
                </c:pt>
                <c:pt idx="6">
                  <c:v>216.38000000000005</c:v>
                </c:pt>
                <c:pt idx="7">
                  <c:v>234.95000000000005</c:v>
                </c:pt>
                <c:pt idx="8">
                  <c:v>266.81</c:v>
                </c:pt>
                <c:pt idx="9">
                  <c:v>316.71000000000009</c:v>
                </c:pt>
                <c:pt idx="10">
                  <c:v>354.31000000000006</c:v>
                </c:pt>
                <c:pt idx="11">
                  <c:v>396.01</c:v>
                </c:pt>
                <c:pt idx="12">
                  <c:v>423.40999999999991</c:v>
                </c:pt>
                <c:pt idx="13">
                  <c:v>473.68999999999994</c:v>
                </c:pt>
                <c:pt idx="14">
                  <c:v>511.09000000000009</c:v>
                </c:pt>
                <c:pt idx="15">
                  <c:v>552.29000000000019</c:v>
                </c:pt>
                <c:pt idx="16">
                  <c:v>615.15</c:v>
                </c:pt>
                <c:pt idx="17">
                  <c:v>637.39999999999986</c:v>
                </c:pt>
                <c:pt idx="18">
                  <c:v>659.56999999999982</c:v>
                </c:pt>
              </c:numCache>
            </c:numRef>
          </c:xVal>
          <c:yVal>
            <c:numRef>
              <c:f>Итого!$B$16:$T$16</c:f>
              <c:numCache>
                <c:formatCode>General</c:formatCode>
                <c:ptCount val="19"/>
                <c:pt idx="0">
                  <c:v>0.99999999999999978</c:v>
                </c:pt>
                <c:pt idx="1">
                  <c:v>1</c:v>
                </c:pt>
                <c:pt idx="2">
                  <c:v>1.0000000000000002</c:v>
                </c:pt>
                <c:pt idx="3">
                  <c:v>1</c:v>
                </c:pt>
                <c:pt idx="4">
                  <c:v>0.99999999999999978</c:v>
                </c:pt>
                <c:pt idx="5">
                  <c:v>0.99999999999999978</c:v>
                </c:pt>
                <c:pt idx="6">
                  <c:v>0.99999999999999944</c:v>
                </c:pt>
                <c:pt idx="7">
                  <c:v>0.99999999999999989</c:v>
                </c:pt>
                <c:pt idx="8">
                  <c:v>0.99999999999999967</c:v>
                </c:pt>
                <c:pt idx="9">
                  <c:v>0.99999999999999978</c:v>
                </c:pt>
                <c:pt idx="10">
                  <c:v>0.99999999999999967</c:v>
                </c:pt>
                <c:pt idx="11">
                  <c:v>1.0000000000000004</c:v>
                </c:pt>
                <c:pt idx="12">
                  <c:v>1.0000000000000002</c:v>
                </c:pt>
                <c:pt idx="13">
                  <c:v>1.0000000000000002</c:v>
                </c:pt>
                <c:pt idx="14">
                  <c:v>0.99999999999999967</c:v>
                </c:pt>
                <c:pt idx="15">
                  <c:v>0.99999999999999978</c:v>
                </c:pt>
                <c:pt idx="16">
                  <c:v>1.0000000000000002</c:v>
                </c:pt>
                <c:pt idx="17">
                  <c:v>1.0000000000000002</c:v>
                </c:pt>
                <c:pt idx="18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5A-493B-8807-3AAE37C639ED}"/>
            </c:ext>
          </c:extLst>
        </c:ser>
        <c:ser>
          <c:idx val="3"/>
          <c:order val="3"/>
          <c:tx>
            <c:strRef>
              <c:f>Итого!$A$19</c:f>
              <c:strCache>
                <c:ptCount val="1"/>
                <c:pt idx="0">
                  <c:v>q = 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backward val="10"/>
            <c:dispRSqr val="1"/>
            <c:dispEq val="1"/>
            <c:trendlineLbl>
              <c:layout>
                <c:manualLayout>
                  <c:x val="-0.60598178049088758"/>
                  <c:y val="-8.32874394827240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Итого!$B$4:$T$4</c:f>
              <c:numCache>
                <c:formatCode>General</c:formatCode>
                <c:ptCount val="19"/>
                <c:pt idx="0">
                  <c:v>17.760000000000002</c:v>
                </c:pt>
                <c:pt idx="1">
                  <c:v>71.36</c:v>
                </c:pt>
                <c:pt idx="2">
                  <c:v>95.359999999999985</c:v>
                </c:pt>
                <c:pt idx="3">
                  <c:v>127.56</c:v>
                </c:pt>
                <c:pt idx="4">
                  <c:v>160.34</c:v>
                </c:pt>
                <c:pt idx="5">
                  <c:v>190.49000000000004</c:v>
                </c:pt>
                <c:pt idx="6">
                  <c:v>216.38000000000005</c:v>
                </c:pt>
                <c:pt idx="7">
                  <c:v>234.95000000000005</c:v>
                </c:pt>
                <c:pt idx="8">
                  <c:v>266.81</c:v>
                </c:pt>
                <c:pt idx="9">
                  <c:v>316.71000000000009</c:v>
                </c:pt>
                <c:pt idx="10">
                  <c:v>354.31000000000006</c:v>
                </c:pt>
                <c:pt idx="11">
                  <c:v>396.01</c:v>
                </c:pt>
                <c:pt idx="12">
                  <c:v>423.40999999999991</c:v>
                </c:pt>
                <c:pt idx="13">
                  <c:v>473.68999999999994</c:v>
                </c:pt>
                <c:pt idx="14">
                  <c:v>511.09000000000009</c:v>
                </c:pt>
                <c:pt idx="15">
                  <c:v>552.29000000000019</c:v>
                </c:pt>
                <c:pt idx="16">
                  <c:v>615.15</c:v>
                </c:pt>
                <c:pt idx="17">
                  <c:v>637.39999999999986</c:v>
                </c:pt>
                <c:pt idx="18">
                  <c:v>659.56999999999982</c:v>
                </c:pt>
              </c:numCache>
            </c:numRef>
          </c:xVal>
          <c:yVal>
            <c:numRef>
              <c:f>Итого!$B$20:$T$20</c:f>
              <c:numCache>
                <c:formatCode>General</c:formatCode>
                <c:ptCount val="19"/>
                <c:pt idx="0">
                  <c:v>0.2673338456699943</c:v>
                </c:pt>
                <c:pt idx="1">
                  <c:v>0.42768795150968253</c:v>
                </c:pt>
                <c:pt idx="2">
                  <c:v>0.32066886327614763</c:v>
                </c:pt>
                <c:pt idx="3">
                  <c:v>0.34461078135771872</c:v>
                </c:pt>
                <c:pt idx="4">
                  <c:v>0.2655099774025475</c:v>
                </c:pt>
                <c:pt idx="5">
                  <c:v>0.22579123434045542</c:v>
                </c:pt>
                <c:pt idx="6">
                  <c:v>0.24952858700337696</c:v>
                </c:pt>
                <c:pt idx="7">
                  <c:v>0.23355140559806317</c:v>
                </c:pt>
                <c:pt idx="8">
                  <c:v>0.2098020626382866</c:v>
                </c:pt>
                <c:pt idx="9">
                  <c:v>0.21411842197359682</c:v>
                </c:pt>
                <c:pt idx="10">
                  <c:v>0.22133360249899714</c:v>
                </c:pt>
                <c:pt idx="11">
                  <c:v>0.2324168868930091</c:v>
                </c:pt>
                <c:pt idx="12">
                  <c:v>0.22292526069189503</c:v>
                </c:pt>
                <c:pt idx="13">
                  <c:v>0.22294708363921903</c:v>
                </c:pt>
                <c:pt idx="14">
                  <c:v>0.21016157389150886</c:v>
                </c:pt>
                <c:pt idx="15">
                  <c:v>0.20383807485026059</c:v>
                </c:pt>
                <c:pt idx="16">
                  <c:v>0.20316799902941129</c:v>
                </c:pt>
                <c:pt idx="17">
                  <c:v>0.20120942084198551</c:v>
                </c:pt>
                <c:pt idx="18">
                  <c:v>0.19967754764845452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5A-493B-8807-3AAE37C639ED}"/>
            </c:ext>
          </c:extLst>
        </c:ser>
        <c:ser>
          <c:idx val="4"/>
          <c:order val="4"/>
          <c:tx>
            <c:strRef>
              <c:f>Итого!$A$23</c:f>
              <c:strCache>
                <c:ptCount val="1"/>
                <c:pt idx="0">
                  <c:v>q = 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exp"/>
            <c:backward val="10"/>
            <c:dispRSqr val="1"/>
            <c:dispEq val="1"/>
            <c:trendlineLbl>
              <c:layout>
                <c:manualLayout>
                  <c:x val="-0.56887138642621726"/>
                  <c:y val="3.54857745472882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Итого!$B$4:$T$4</c:f>
              <c:numCache>
                <c:formatCode>General</c:formatCode>
                <c:ptCount val="19"/>
                <c:pt idx="0">
                  <c:v>17.760000000000002</c:v>
                </c:pt>
                <c:pt idx="1">
                  <c:v>71.36</c:v>
                </c:pt>
                <c:pt idx="2">
                  <c:v>95.359999999999985</c:v>
                </c:pt>
                <c:pt idx="3">
                  <c:v>127.56</c:v>
                </c:pt>
                <c:pt idx="4">
                  <c:v>160.34</c:v>
                </c:pt>
                <c:pt idx="5">
                  <c:v>190.49000000000004</c:v>
                </c:pt>
                <c:pt idx="6">
                  <c:v>216.38000000000005</c:v>
                </c:pt>
                <c:pt idx="7">
                  <c:v>234.95000000000005</c:v>
                </c:pt>
                <c:pt idx="8">
                  <c:v>266.81</c:v>
                </c:pt>
                <c:pt idx="9">
                  <c:v>316.71000000000009</c:v>
                </c:pt>
                <c:pt idx="10">
                  <c:v>354.31000000000006</c:v>
                </c:pt>
                <c:pt idx="11">
                  <c:v>396.01</c:v>
                </c:pt>
                <c:pt idx="12">
                  <c:v>423.40999999999991</c:v>
                </c:pt>
                <c:pt idx="13">
                  <c:v>473.68999999999994</c:v>
                </c:pt>
                <c:pt idx="14">
                  <c:v>511.09000000000009</c:v>
                </c:pt>
                <c:pt idx="15">
                  <c:v>552.29000000000019</c:v>
                </c:pt>
                <c:pt idx="16">
                  <c:v>615.15</c:v>
                </c:pt>
                <c:pt idx="17">
                  <c:v>637.39999999999986</c:v>
                </c:pt>
                <c:pt idx="18">
                  <c:v>659.56999999999982</c:v>
                </c:pt>
              </c:numCache>
            </c:numRef>
          </c:xVal>
          <c:yVal>
            <c:numRef>
              <c:f>Итого!$B$24:$T$24</c:f>
              <c:numCache>
                <c:formatCode>General</c:formatCode>
                <c:ptCount val="19"/>
                <c:pt idx="0">
                  <c:v>9.3756024831327819E-2</c:v>
                </c:pt>
                <c:pt idx="1">
                  <c:v>0.25423388991837181</c:v>
                </c:pt>
                <c:pt idx="2">
                  <c:v>0.15188999703443101</c:v>
                </c:pt>
                <c:pt idx="3">
                  <c:v>0.16975003025226582</c:v>
                </c:pt>
                <c:pt idx="4">
                  <c:v>0.11109661999776037</c:v>
                </c:pt>
                <c:pt idx="5">
                  <c:v>8.3488096533248457E-2</c:v>
                </c:pt>
                <c:pt idx="6">
                  <c:v>0.1020596839699506</c:v>
                </c:pt>
                <c:pt idx="7">
                  <c:v>9.0886710465338194E-2</c:v>
                </c:pt>
                <c:pt idx="8">
                  <c:v>7.3485977515496431E-2</c:v>
                </c:pt>
                <c:pt idx="9">
                  <c:v>7.7390756273515965E-2</c:v>
                </c:pt>
                <c:pt idx="10">
                  <c:v>8.2783697116491181E-2</c:v>
                </c:pt>
                <c:pt idx="11">
                  <c:v>9.0473195889135993E-2</c:v>
                </c:pt>
                <c:pt idx="12">
                  <c:v>8.2728966376505106E-2</c:v>
                </c:pt>
                <c:pt idx="13">
                  <c:v>7.9552550231605623E-2</c:v>
                </c:pt>
                <c:pt idx="14">
                  <c:v>6.9758246225261236E-2</c:v>
                </c:pt>
                <c:pt idx="15">
                  <c:v>6.3402325230358464E-2</c:v>
                </c:pt>
                <c:pt idx="16">
                  <c:v>5.9911724117950704E-2</c:v>
                </c:pt>
                <c:pt idx="17">
                  <c:v>5.865832533612985E-2</c:v>
                </c:pt>
                <c:pt idx="18">
                  <c:v>5.7857029856463293E-2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5A-493B-8807-3AAE37C63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67440"/>
        <c:axId val="143171120"/>
      </c:scatterChart>
      <c:valAx>
        <c:axId val="1367674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171120"/>
        <c:crosses val="autoZero"/>
        <c:crossBetween val="midCat"/>
      </c:valAx>
      <c:valAx>
        <c:axId val="143171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76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Шаг</a:t>
            </a:r>
            <a:r>
              <a:rPr lang="ru-RU" baseline="0"/>
              <a:t> 5 (</a:t>
            </a:r>
            <a:r>
              <a:rPr lang="en-US" baseline="0"/>
              <a:t>D </a:t>
            </a:r>
            <a:r>
              <a:rPr lang="ru-RU" baseline="0"/>
              <a:t>от </a:t>
            </a:r>
            <a:r>
              <a:rPr lang="en-US" baseline="0"/>
              <a:t>N)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Итого!$A$7</c:f>
              <c:strCache>
                <c:ptCount val="1"/>
                <c:pt idx="0">
                  <c:v>q = -2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Итого!$B$4:$T$4</c:f>
              <c:numCache>
                <c:formatCode>General</c:formatCode>
                <c:ptCount val="19"/>
                <c:pt idx="0">
                  <c:v>17.760000000000002</c:v>
                </c:pt>
                <c:pt idx="1">
                  <c:v>71.36</c:v>
                </c:pt>
                <c:pt idx="2">
                  <c:v>95.359999999999985</c:v>
                </c:pt>
                <c:pt idx="3">
                  <c:v>127.56</c:v>
                </c:pt>
                <c:pt idx="4">
                  <c:v>160.34</c:v>
                </c:pt>
                <c:pt idx="5">
                  <c:v>190.49000000000004</c:v>
                </c:pt>
                <c:pt idx="6">
                  <c:v>216.38000000000005</c:v>
                </c:pt>
                <c:pt idx="7">
                  <c:v>234.95000000000005</c:v>
                </c:pt>
                <c:pt idx="8">
                  <c:v>266.81</c:v>
                </c:pt>
                <c:pt idx="9">
                  <c:v>316.71000000000009</c:v>
                </c:pt>
                <c:pt idx="10">
                  <c:v>354.31000000000006</c:v>
                </c:pt>
                <c:pt idx="11">
                  <c:v>396.01</c:v>
                </c:pt>
                <c:pt idx="12">
                  <c:v>423.40999999999991</c:v>
                </c:pt>
                <c:pt idx="13">
                  <c:v>473.68999999999994</c:v>
                </c:pt>
                <c:pt idx="14">
                  <c:v>511.09000000000009</c:v>
                </c:pt>
                <c:pt idx="15">
                  <c:v>552.29000000000019</c:v>
                </c:pt>
                <c:pt idx="16">
                  <c:v>615.15</c:v>
                </c:pt>
                <c:pt idx="17">
                  <c:v>637.39999999999986</c:v>
                </c:pt>
                <c:pt idx="18">
                  <c:v>659.56999999999982</c:v>
                </c:pt>
              </c:numCache>
            </c:numRef>
          </c:xVal>
          <c:yVal>
            <c:numRef>
              <c:f>Итого!$B$10:$T$10</c:f>
              <c:numCache>
                <c:formatCode>General</c:formatCode>
                <c:ptCount val="19"/>
                <c:pt idx="0">
                  <c:v>1.596808911341318</c:v>
                </c:pt>
                <c:pt idx="1">
                  <c:v>1.2409041094262239</c:v>
                </c:pt>
                <c:pt idx="2">
                  <c:v>1.1047282007177928</c:v>
                </c:pt>
                <c:pt idx="3">
                  <c:v>1.0567142458043521</c:v>
                </c:pt>
                <c:pt idx="4">
                  <c:v>1.298898448888075</c:v>
                </c:pt>
                <c:pt idx="5">
                  <c:v>1.2594958005830075</c:v>
                </c:pt>
                <c:pt idx="6">
                  <c:v>1.2410165911150857</c:v>
                </c:pt>
                <c:pt idx="7">
                  <c:v>1.0562430336690871</c:v>
                </c:pt>
                <c:pt idx="8">
                  <c:v>1.0455642611284914</c:v>
                </c:pt>
                <c:pt idx="9">
                  <c:v>1.0342382093942077</c:v>
                </c:pt>
                <c:pt idx="10">
                  <c:v>1.0107467677349165</c:v>
                </c:pt>
                <c:pt idx="11">
                  <c:v>0.95844100196297999</c:v>
                </c:pt>
                <c:pt idx="12">
                  <c:v>0.94749456242727892</c:v>
                </c:pt>
                <c:pt idx="13">
                  <c:v>0.93835819584646873</c:v>
                </c:pt>
                <c:pt idx="14">
                  <c:v>0.912293028513668</c:v>
                </c:pt>
                <c:pt idx="15">
                  <c:v>0.90896548730883753</c:v>
                </c:pt>
                <c:pt idx="16">
                  <c:v>0.90431342525879221</c:v>
                </c:pt>
                <c:pt idx="17">
                  <c:v>0.90265602411948631</c:v>
                </c:pt>
                <c:pt idx="18">
                  <c:v>0.90126033902693559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2-48F6-A63A-33BD772A4508}"/>
            </c:ext>
          </c:extLst>
        </c:ser>
        <c:ser>
          <c:idx val="1"/>
          <c:order val="1"/>
          <c:tx>
            <c:strRef>
              <c:f>Итого!$A$11</c:f>
              <c:strCache>
                <c:ptCount val="1"/>
                <c:pt idx="0">
                  <c:v>q = -1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Итого!$B$4:$T$4</c:f>
              <c:numCache>
                <c:formatCode>General</c:formatCode>
                <c:ptCount val="19"/>
                <c:pt idx="0">
                  <c:v>17.760000000000002</c:v>
                </c:pt>
                <c:pt idx="1">
                  <c:v>71.36</c:v>
                </c:pt>
                <c:pt idx="2">
                  <c:v>95.359999999999985</c:v>
                </c:pt>
                <c:pt idx="3">
                  <c:v>127.56</c:v>
                </c:pt>
                <c:pt idx="4">
                  <c:v>160.34</c:v>
                </c:pt>
                <c:pt idx="5">
                  <c:v>190.49000000000004</c:v>
                </c:pt>
                <c:pt idx="6">
                  <c:v>216.38000000000005</c:v>
                </c:pt>
                <c:pt idx="7">
                  <c:v>234.95000000000005</c:v>
                </c:pt>
                <c:pt idx="8">
                  <c:v>266.81</c:v>
                </c:pt>
                <c:pt idx="9">
                  <c:v>316.71000000000009</c:v>
                </c:pt>
                <c:pt idx="10">
                  <c:v>354.31000000000006</c:v>
                </c:pt>
                <c:pt idx="11">
                  <c:v>396.01</c:v>
                </c:pt>
                <c:pt idx="12">
                  <c:v>423.40999999999991</c:v>
                </c:pt>
                <c:pt idx="13">
                  <c:v>473.68999999999994</c:v>
                </c:pt>
                <c:pt idx="14">
                  <c:v>511.09000000000009</c:v>
                </c:pt>
                <c:pt idx="15">
                  <c:v>552.29000000000019</c:v>
                </c:pt>
                <c:pt idx="16">
                  <c:v>615.15</c:v>
                </c:pt>
                <c:pt idx="17">
                  <c:v>637.39999999999986</c:v>
                </c:pt>
                <c:pt idx="18">
                  <c:v>659.56999999999982</c:v>
                </c:pt>
              </c:numCache>
            </c:numRef>
          </c:xVal>
          <c:yVal>
            <c:numRef>
              <c:f>Итого!$B$14:$T$14</c:f>
              <c:numCache>
                <c:formatCode>General</c:formatCode>
                <c:ptCount val="19"/>
                <c:pt idx="0">
                  <c:v>1.3352746971856346</c:v>
                </c:pt>
                <c:pt idx="1">
                  <c:v>1.0005780175774115</c:v>
                </c:pt>
                <c:pt idx="2">
                  <c:v>0.92524087788045417</c:v>
                </c:pt>
                <c:pt idx="3">
                  <c:v>0.87250164373267391</c:v>
                </c:pt>
                <c:pt idx="4">
                  <c:v>1.0388731659877173</c:v>
                </c:pt>
                <c:pt idx="5">
                  <c:v>1.0027872761607173</c:v>
                </c:pt>
                <c:pt idx="6">
                  <c:v>0.9731995782821532</c:v>
                </c:pt>
                <c:pt idx="7">
                  <c:v>0.88125855780562412</c:v>
                </c:pt>
                <c:pt idx="8">
                  <c:v>0.86688943992616008</c:v>
                </c:pt>
                <c:pt idx="9">
                  <c:v>0.85528338075530241</c:v>
                </c:pt>
                <c:pt idx="10">
                  <c:v>0.83355196514645891</c:v>
                </c:pt>
                <c:pt idx="11">
                  <c:v>0.80599616931456142</c:v>
                </c:pt>
                <c:pt idx="12">
                  <c:v>0.79674474124532801</c:v>
                </c:pt>
                <c:pt idx="13">
                  <c:v>0.78627845399921259</c:v>
                </c:pt>
                <c:pt idx="14">
                  <c:v>0.7729627574194643</c:v>
                </c:pt>
                <c:pt idx="15">
                  <c:v>0.76837056263538994</c:v>
                </c:pt>
                <c:pt idx="16">
                  <c:v>0.76218708567264815</c:v>
                </c:pt>
                <c:pt idx="17">
                  <c:v>0.76036875322197706</c:v>
                </c:pt>
                <c:pt idx="18">
                  <c:v>0.75816000080320367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82-48F6-A63A-33BD772A4508}"/>
            </c:ext>
          </c:extLst>
        </c:ser>
        <c:ser>
          <c:idx val="2"/>
          <c:order val="2"/>
          <c:tx>
            <c:strRef>
              <c:f>Итого!$A$19</c:f>
              <c:strCache>
                <c:ptCount val="1"/>
                <c:pt idx="0">
                  <c:v>q = 2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Итого!$B$4:$T$4</c:f>
              <c:numCache>
                <c:formatCode>General</c:formatCode>
                <c:ptCount val="19"/>
                <c:pt idx="0">
                  <c:v>17.760000000000002</c:v>
                </c:pt>
                <c:pt idx="1">
                  <c:v>71.36</c:v>
                </c:pt>
                <c:pt idx="2">
                  <c:v>95.359999999999985</c:v>
                </c:pt>
                <c:pt idx="3">
                  <c:v>127.56</c:v>
                </c:pt>
                <c:pt idx="4">
                  <c:v>160.34</c:v>
                </c:pt>
                <c:pt idx="5">
                  <c:v>190.49000000000004</c:v>
                </c:pt>
                <c:pt idx="6">
                  <c:v>216.38000000000005</c:v>
                </c:pt>
                <c:pt idx="7">
                  <c:v>234.95000000000005</c:v>
                </c:pt>
                <c:pt idx="8">
                  <c:v>266.81</c:v>
                </c:pt>
                <c:pt idx="9">
                  <c:v>316.71000000000009</c:v>
                </c:pt>
                <c:pt idx="10">
                  <c:v>354.31000000000006</c:v>
                </c:pt>
                <c:pt idx="11">
                  <c:v>396.01</c:v>
                </c:pt>
                <c:pt idx="12">
                  <c:v>423.40999999999991</c:v>
                </c:pt>
                <c:pt idx="13">
                  <c:v>473.68999999999994</c:v>
                </c:pt>
                <c:pt idx="14">
                  <c:v>511.09000000000009</c:v>
                </c:pt>
                <c:pt idx="15">
                  <c:v>552.29000000000019</c:v>
                </c:pt>
                <c:pt idx="16">
                  <c:v>615.15</c:v>
                </c:pt>
                <c:pt idx="17">
                  <c:v>637.39999999999986</c:v>
                </c:pt>
                <c:pt idx="18">
                  <c:v>659.56999999999982</c:v>
                </c:pt>
              </c:numCache>
            </c:numRef>
          </c:xVal>
          <c:yVal>
            <c:numRef>
              <c:f>Итого!$B$22:$T$22</c:f>
              <c:numCache>
                <c:formatCode>General</c:formatCode>
                <c:ptCount val="19"/>
                <c:pt idx="0">
                  <c:v>0.45856119231075082</c:v>
                </c:pt>
                <c:pt idx="1">
                  <c:v>0.19901913763537457</c:v>
                </c:pt>
                <c:pt idx="2">
                  <c:v>0.24954614115217991</c:v>
                </c:pt>
                <c:pt idx="3">
                  <c:v>0.21972168458069299</c:v>
                </c:pt>
                <c:pt idx="4">
                  <c:v>0.26118286444450922</c:v>
                </c:pt>
                <c:pt idx="5">
                  <c:v>0.28347769993764932</c:v>
                </c:pt>
                <c:pt idx="6">
                  <c:v>0.25816858244594382</c:v>
                </c:pt>
                <c:pt idx="7">
                  <c:v>0.26639563678128314</c:v>
                </c:pt>
                <c:pt idx="8">
                  <c:v>0.2795275157102321</c:v>
                </c:pt>
                <c:pt idx="9">
                  <c:v>0.26766753198061627</c:v>
                </c:pt>
                <c:pt idx="10">
                  <c:v>0.25690629531781917</c:v>
                </c:pt>
                <c:pt idx="11">
                  <c:v>0.2439584321646022</c:v>
                </c:pt>
                <c:pt idx="12">
                  <c:v>0.24815378685101933</c:v>
                </c:pt>
                <c:pt idx="13">
                  <c:v>0.2436178707637176</c:v>
                </c:pt>
                <c:pt idx="14">
                  <c:v>0.25011901133544567</c:v>
                </c:pt>
                <c:pt idx="15">
                  <c:v>0.25188642622407698</c:v>
                </c:pt>
                <c:pt idx="16">
                  <c:v>0.24817117421973395</c:v>
                </c:pt>
                <c:pt idx="17">
                  <c:v>0.24830576759763517</c:v>
                </c:pt>
                <c:pt idx="18">
                  <c:v>0.24817524596378024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82-48F6-A63A-33BD772A4508}"/>
            </c:ext>
          </c:extLst>
        </c:ser>
        <c:ser>
          <c:idx val="3"/>
          <c:order val="3"/>
          <c:tx>
            <c:strRef>
              <c:f>Итого!$A$23</c:f>
              <c:strCache>
                <c:ptCount val="1"/>
                <c:pt idx="0">
                  <c:v>q = 3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Итого!$B$4:$T$4</c:f>
              <c:numCache>
                <c:formatCode>General</c:formatCode>
                <c:ptCount val="19"/>
                <c:pt idx="0">
                  <c:v>17.760000000000002</c:v>
                </c:pt>
                <c:pt idx="1">
                  <c:v>71.36</c:v>
                </c:pt>
                <c:pt idx="2">
                  <c:v>95.359999999999985</c:v>
                </c:pt>
                <c:pt idx="3">
                  <c:v>127.56</c:v>
                </c:pt>
                <c:pt idx="4">
                  <c:v>160.34</c:v>
                </c:pt>
                <c:pt idx="5">
                  <c:v>190.49000000000004</c:v>
                </c:pt>
                <c:pt idx="6">
                  <c:v>216.38000000000005</c:v>
                </c:pt>
                <c:pt idx="7">
                  <c:v>234.95000000000005</c:v>
                </c:pt>
                <c:pt idx="8">
                  <c:v>266.81</c:v>
                </c:pt>
                <c:pt idx="9">
                  <c:v>316.71000000000009</c:v>
                </c:pt>
                <c:pt idx="10">
                  <c:v>354.31000000000006</c:v>
                </c:pt>
                <c:pt idx="11">
                  <c:v>396.01</c:v>
                </c:pt>
                <c:pt idx="12">
                  <c:v>423.40999999999991</c:v>
                </c:pt>
                <c:pt idx="13">
                  <c:v>473.68999999999994</c:v>
                </c:pt>
                <c:pt idx="14">
                  <c:v>511.09000000000009</c:v>
                </c:pt>
                <c:pt idx="15">
                  <c:v>552.29000000000019</c:v>
                </c:pt>
                <c:pt idx="16">
                  <c:v>615.15</c:v>
                </c:pt>
                <c:pt idx="17">
                  <c:v>637.39999999999986</c:v>
                </c:pt>
                <c:pt idx="18">
                  <c:v>659.56999999999982</c:v>
                </c:pt>
              </c:numCache>
            </c:numRef>
          </c:xVal>
          <c:yVal>
            <c:numRef>
              <c:f>Итого!$B$26:$T$26</c:f>
              <c:numCache>
                <c:formatCode>General</c:formatCode>
                <c:ptCount val="19"/>
                <c:pt idx="0">
                  <c:v>0.41138365109231306</c:v>
                </c:pt>
                <c:pt idx="1">
                  <c:v>0.16044808437461999</c:v>
                </c:pt>
                <c:pt idx="2">
                  <c:v>0.2067507288044991</c:v>
                </c:pt>
                <c:pt idx="3">
                  <c:v>0.18288094985871695</c:v>
                </c:pt>
                <c:pt idx="4">
                  <c:v>0.21639025607711701</c:v>
                </c:pt>
                <c:pt idx="5">
                  <c:v>0.23649910048317344</c:v>
                </c:pt>
                <c:pt idx="6">
                  <c:v>0.21221705121528006</c:v>
                </c:pt>
                <c:pt idx="7">
                  <c:v>0.21963525926387817</c:v>
                </c:pt>
                <c:pt idx="8">
                  <c:v>0.2336564466550079</c:v>
                </c:pt>
                <c:pt idx="9">
                  <c:v>0.22220336230106499</c:v>
                </c:pt>
                <c:pt idx="10">
                  <c:v>0.21221899728646679</c:v>
                </c:pt>
                <c:pt idx="11">
                  <c:v>0.20084644046334704</c:v>
                </c:pt>
                <c:pt idx="12">
                  <c:v>0.20602223728591956</c:v>
                </c:pt>
                <c:pt idx="13">
                  <c:v>0.20544725657648141</c:v>
                </c:pt>
                <c:pt idx="14">
                  <c:v>0.21347712082367518</c:v>
                </c:pt>
                <c:pt idx="15">
                  <c:v>0.21842118585151954</c:v>
                </c:pt>
                <c:pt idx="16">
                  <c:v>0.21916394730485966</c:v>
                </c:pt>
                <c:pt idx="17">
                  <c:v>0.21959510836520432</c:v>
                </c:pt>
                <c:pt idx="18">
                  <c:v>0.21949793076987079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82-48F6-A63A-33BD772A4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38208"/>
        <c:axId val="101548960"/>
      </c:scatterChart>
      <c:valAx>
        <c:axId val="17943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548960"/>
        <c:crosses val="autoZero"/>
        <c:crossBetween val="midCat"/>
      </c:valAx>
      <c:valAx>
        <c:axId val="10154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438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Шаг</a:t>
            </a:r>
            <a:r>
              <a:rPr lang="ru-RU" baseline="0"/>
              <a:t> 3 (</a:t>
            </a:r>
            <a:r>
              <a:rPr lang="en-US" baseline="0"/>
              <a:t>t </a:t>
            </a:r>
            <a:r>
              <a:rPr lang="ru-RU" baseline="0"/>
              <a:t>от </a:t>
            </a:r>
            <a:r>
              <a:rPr lang="en-US" baseline="0"/>
              <a:t>q</a:t>
            </a:r>
            <a:r>
              <a:rPr lang="ru-RU" baseline="0"/>
              <a:t>)</a:t>
            </a:r>
            <a:r>
              <a:rPr lang="en-US" baseline="0"/>
              <a:t> (</a:t>
            </a:r>
            <a:r>
              <a:rPr lang="ru-RU" baseline="0"/>
              <a:t>для первого и последнего участков</a:t>
            </a:r>
            <a:r>
              <a:rPr lang="en-US" baseline="0"/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1.7505546613303172E-3"/>
                  <c:y val="-0.304410689990971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'Еще итого'!$A$2:$A$6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xVal>
          <c:yVal>
            <c:numRef>
              <c:f>'Еще итого'!$B$2:$B$6</c:f>
              <c:numCache>
                <c:formatCode>General</c:formatCode>
                <c:ptCount val="5"/>
                <c:pt idx="0">
                  <c:v>4.7904267340239537</c:v>
                </c:pt>
                <c:pt idx="1">
                  <c:v>2.6705493943712693</c:v>
                </c:pt>
                <c:pt idx="2">
                  <c:v>-7.7180591376487778E-17</c:v>
                </c:pt>
                <c:pt idx="3">
                  <c:v>-0.45856119231075082</c:v>
                </c:pt>
                <c:pt idx="4">
                  <c:v>-0.82276730218462613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0-41B4-B5AF-EE4FA4080CE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4065822711387598"/>
                  <c:y val="-8.21028325833110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'Еще итого'!$A$2:$A$6</c:f>
              <c:numCache>
                <c:formatCode>General</c:formatCode>
                <c:ptCount val="5"/>
                <c:pt idx="0">
                  <c:v>-2</c:v>
                </c:pt>
                <c:pt idx="1">
                  <c:v>-1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xVal>
          <c:yVal>
            <c:numRef>
              <c:f>'Еще итого'!$T$2:$T$6</c:f>
              <c:numCache>
                <c:formatCode>General</c:formatCode>
                <c:ptCount val="5"/>
                <c:pt idx="0">
                  <c:v>2.7037810170808068</c:v>
                </c:pt>
                <c:pt idx="1">
                  <c:v>1.5163200016064073</c:v>
                </c:pt>
                <c:pt idx="2">
                  <c:v>3.4204974383248494E-17</c:v>
                </c:pt>
                <c:pt idx="3">
                  <c:v>-0.24817524596378024</c:v>
                </c:pt>
                <c:pt idx="4">
                  <c:v>-0.43899586153974157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740-41B4-B5AF-EE4FA4080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16976"/>
        <c:axId val="185999184"/>
      </c:scatterChart>
      <c:valAx>
        <c:axId val="1945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999184"/>
        <c:crosses val="autoZero"/>
        <c:crossBetween val="midCat"/>
      </c:valAx>
      <c:valAx>
        <c:axId val="18599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51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Шаг</a:t>
            </a:r>
            <a:r>
              <a:rPr lang="ru-RU" baseline="0"/>
              <a:t> 4 (</a:t>
            </a:r>
            <a:r>
              <a:rPr lang="en-US" baseline="0"/>
              <a:t>D </a:t>
            </a:r>
            <a:r>
              <a:rPr lang="ru-RU" baseline="0"/>
              <a:t>от </a:t>
            </a:r>
            <a:r>
              <a:rPr lang="en-US" baseline="0"/>
              <a:t>q</a:t>
            </a:r>
            <a:r>
              <a:rPr lang="ru-RU" baseline="0"/>
              <a:t>)</a:t>
            </a:r>
            <a:r>
              <a:rPr lang="en-US" baseline="0"/>
              <a:t> (</a:t>
            </a:r>
            <a:r>
              <a:rPr lang="ru-RU" sz="1400" b="0" i="0" u="none" strike="noStrike" baseline="0">
                <a:effectLst/>
              </a:rPr>
              <a:t>для первого и последнего участков</a:t>
            </a:r>
            <a:r>
              <a:rPr lang="en-US" baseline="0"/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3.5082347661215381E-2"/>
                  <c:y val="-0.193555123185742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'Еще итого'!$A$10:$A$13</c:f>
              <c:numCache>
                <c:formatCode>General</c:formatCode>
                <c:ptCount val="4"/>
                <c:pt idx="0">
                  <c:v>-2</c:v>
                </c:pt>
                <c:pt idx="1">
                  <c:v>-1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'Еще итого'!$B$10:$B$13</c:f>
              <c:numCache>
                <c:formatCode>General</c:formatCode>
                <c:ptCount val="4"/>
                <c:pt idx="0">
                  <c:v>1.596808911341318</c:v>
                </c:pt>
                <c:pt idx="1">
                  <c:v>1.3352746971856346</c:v>
                </c:pt>
                <c:pt idx="2">
                  <c:v>0.45856119231075082</c:v>
                </c:pt>
                <c:pt idx="3">
                  <c:v>0.41138365109231306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7C-4745-A231-E3784AB1154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8857276255865284"/>
                  <c:y val="-0.154020234630050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'Еще итого'!$A$10:$A$13</c:f>
              <c:numCache>
                <c:formatCode>General</c:formatCode>
                <c:ptCount val="4"/>
                <c:pt idx="0">
                  <c:v>-2</c:v>
                </c:pt>
                <c:pt idx="1">
                  <c:v>-1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'Еще итого'!$T$10:$T$13</c:f>
              <c:numCache>
                <c:formatCode>General</c:formatCode>
                <c:ptCount val="4"/>
                <c:pt idx="0">
                  <c:v>0.90126033902693559</c:v>
                </c:pt>
                <c:pt idx="1">
                  <c:v>0.75816000080320367</c:v>
                </c:pt>
                <c:pt idx="2">
                  <c:v>0.24817524596378024</c:v>
                </c:pt>
                <c:pt idx="3">
                  <c:v>0.21949793076987079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37C-4745-A231-E3784AB1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06160"/>
        <c:axId val="185994608"/>
      </c:scatterChart>
      <c:valAx>
        <c:axId val="18660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5994608"/>
        <c:crosses val="autoZero"/>
        <c:crossBetween val="midCat"/>
      </c:valAx>
      <c:valAx>
        <c:axId val="18599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60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26</xdr:row>
      <xdr:rowOff>142875</xdr:rowOff>
    </xdr:from>
    <xdr:to>
      <xdr:col>9</xdr:col>
      <xdr:colOff>380999</xdr:colOff>
      <xdr:row>48</xdr:row>
      <xdr:rowOff>157162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C27B7E1-4392-4315-BD56-BB3FE0B0F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576262</xdr:colOff>
      <xdr:row>26</xdr:row>
      <xdr:rowOff>128586</xdr:rowOff>
    </xdr:from>
    <xdr:to>
      <xdr:col>22</xdr:col>
      <xdr:colOff>57150</xdr:colOff>
      <xdr:row>51</xdr:row>
      <xdr:rowOff>38099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63927B3-56E2-4CD8-80E9-D7D4ECC09E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42861</xdr:colOff>
      <xdr:row>52</xdr:row>
      <xdr:rowOff>176211</xdr:rowOff>
    </xdr:from>
    <xdr:to>
      <xdr:col>13</xdr:col>
      <xdr:colOff>390525</xdr:colOff>
      <xdr:row>82</xdr:row>
      <xdr:rowOff>19050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C46F738-14B7-4DBA-8203-2B928AC11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14</xdr:row>
      <xdr:rowOff>52387</xdr:rowOff>
    </xdr:from>
    <xdr:to>
      <xdr:col>14</xdr:col>
      <xdr:colOff>133349</xdr:colOff>
      <xdr:row>37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418291D-D1AD-4F25-A999-21C2211CA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242886</xdr:colOff>
      <xdr:row>15</xdr:row>
      <xdr:rowOff>33337</xdr:rowOff>
    </xdr:from>
    <xdr:to>
      <xdr:col>26</xdr:col>
      <xdr:colOff>276225</xdr:colOff>
      <xdr:row>37</xdr:row>
      <xdr:rowOff>171450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D0D167B-C604-448D-BB71-7503CE86D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9F9A-36CF-45F1-A0BB-A55A6675FA7D}">
  <dimension ref="A1:T34"/>
  <sheetViews>
    <sheetView tabSelected="1" workbookViewId="0">
      <selection activeCell="A8" sqref="A8"/>
    </sheetView>
  </sheetViews>
  <sheetFormatPr defaultRowHeight="15" x14ac:dyDescent="0.25"/>
  <cols>
    <col min="1" max="1" width="25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4.4000000000000004</v>
      </c>
      <c r="C2">
        <v>0.7</v>
      </c>
      <c r="D2">
        <v>1.75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</v>
      </c>
      <c r="S2">
        <v>0</v>
      </c>
      <c r="T2">
        <v>1</v>
      </c>
    </row>
    <row r="3" spans="1:20" x14ac:dyDescent="0.25">
      <c r="A3" t="s">
        <v>21</v>
      </c>
      <c r="B3">
        <v>7.5</v>
      </c>
      <c r="C3">
        <v>37.5</v>
      </c>
      <c r="D3">
        <v>5.2</v>
      </c>
      <c r="E3">
        <v>19.3</v>
      </c>
      <c r="F3">
        <v>6.2</v>
      </c>
      <c r="G3">
        <v>5.8</v>
      </c>
      <c r="H3">
        <v>18.2</v>
      </c>
      <c r="I3">
        <v>4.4000000000000004</v>
      </c>
      <c r="J3">
        <v>5.0999999999999996</v>
      </c>
      <c r="K3">
        <v>23.6</v>
      </c>
      <c r="L3">
        <v>19.5</v>
      </c>
      <c r="M3">
        <v>23.2</v>
      </c>
      <c r="N3">
        <v>6.1</v>
      </c>
      <c r="O3">
        <v>17</v>
      </c>
      <c r="P3">
        <v>5.0999999999999996</v>
      </c>
      <c r="Q3">
        <v>6.6</v>
      </c>
      <c r="R3">
        <v>12.8</v>
      </c>
      <c r="S3">
        <v>4.5999999999999996</v>
      </c>
      <c r="T3">
        <v>6</v>
      </c>
    </row>
    <row r="4" spans="1:20" x14ac:dyDescent="0.25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0.05</v>
      </c>
      <c r="H4">
        <v>0.02</v>
      </c>
      <c r="I4">
        <v>0.01</v>
      </c>
      <c r="J4">
        <v>0</v>
      </c>
      <c r="K4">
        <v>0</v>
      </c>
      <c r="L4">
        <v>0.2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23</v>
      </c>
      <c r="B5">
        <v>0.03</v>
      </c>
      <c r="C5">
        <v>0.2</v>
      </c>
      <c r="D5">
        <v>0</v>
      </c>
      <c r="E5">
        <v>0.1</v>
      </c>
      <c r="F5">
        <v>1.6</v>
      </c>
      <c r="G5">
        <v>0.7</v>
      </c>
      <c r="H5">
        <v>0.1</v>
      </c>
      <c r="I5">
        <v>0.03</v>
      </c>
      <c r="J5">
        <v>1.5</v>
      </c>
      <c r="K5">
        <v>0</v>
      </c>
      <c r="L5">
        <v>0</v>
      </c>
      <c r="M5">
        <v>0.05</v>
      </c>
      <c r="N5">
        <v>0.2</v>
      </c>
      <c r="O5">
        <v>0</v>
      </c>
      <c r="P5">
        <v>0.9</v>
      </c>
      <c r="Q5">
        <v>0</v>
      </c>
      <c r="R5">
        <v>0.01</v>
      </c>
      <c r="S5">
        <v>0.3</v>
      </c>
      <c r="T5">
        <v>0.02</v>
      </c>
    </row>
    <row r="6" spans="1:20" x14ac:dyDescent="0.25">
      <c r="A6" t="s">
        <v>24</v>
      </c>
      <c r="B6">
        <v>0</v>
      </c>
      <c r="C6">
        <v>0</v>
      </c>
      <c r="D6">
        <v>0</v>
      </c>
      <c r="E6">
        <v>0</v>
      </c>
      <c r="F6">
        <v>0.01</v>
      </c>
      <c r="G6">
        <v>0</v>
      </c>
      <c r="H6">
        <v>0</v>
      </c>
      <c r="I6">
        <v>0.05</v>
      </c>
      <c r="J6">
        <v>0</v>
      </c>
      <c r="K6">
        <v>0</v>
      </c>
      <c r="L6">
        <v>0</v>
      </c>
      <c r="M6">
        <v>0.1</v>
      </c>
      <c r="N6">
        <v>0.1</v>
      </c>
      <c r="O6">
        <v>0.3</v>
      </c>
      <c r="P6">
        <v>0.2</v>
      </c>
      <c r="Q6">
        <v>0.1</v>
      </c>
      <c r="R6">
        <v>0</v>
      </c>
      <c r="S6">
        <v>0.4</v>
      </c>
      <c r="T6">
        <v>0.1</v>
      </c>
    </row>
    <row r="7" spans="1:20" x14ac:dyDescent="0.25">
      <c r="A7" t="s">
        <v>25</v>
      </c>
      <c r="B7">
        <v>0</v>
      </c>
      <c r="C7">
        <v>0</v>
      </c>
      <c r="D7">
        <v>0.1</v>
      </c>
      <c r="E7">
        <v>0</v>
      </c>
      <c r="F7">
        <v>0</v>
      </c>
      <c r="G7">
        <v>0</v>
      </c>
      <c r="H7">
        <v>0.02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2.2999999999999998</v>
      </c>
      <c r="Q7">
        <v>3.3</v>
      </c>
      <c r="R7">
        <v>0.5</v>
      </c>
      <c r="S7">
        <v>0</v>
      </c>
      <c r="T7">
        <v>0</v>
      </c>
    </row>
    <row r="8" spans="1:20" x14ac:dyDescent="0.25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0.5</v>
      </c>
      <c r="H8">
        <v>0.35</v>
      </c>
      <c r="I8">
        <v>0.1</v>
      </c>
      <c r="J8">
        <v>0.3</v>
      </c>
      <c r="K8">
        <v>0.8</v>
      </c>
      <c r="L8">
        <v>1.5</v>
      </c>
      <c r="M8">
        <v>0.7</v>
      </c>
      <c r="N8">
        <v>0.7</v>
      </c>
      <c r="O8">
        <v>0.7</v>
      </c>
      <c r="P8">
        <v>0</v>
      </c>
      <c r="Q8">
        <v>0</v>
      </c>
      <c r="R8">
        <v>0.05</v>
      </c>
      <c r="S8">
        <v>0.6</v>
      </c>
      <c r="T8">
        <v>1.5</v>
      </c>
    </row>
    <row r="9" spans="1:20" x14ac:dyDescent="0.25">
      <c r="A9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1.6</v>
      </c>
      <c r="K9">
        <v>0</v>
      </c>
      <c r="L9">
        <v>2.4</v>
      </c>
      <c r="M9">
        <v>0</v>
      </c>
      <c r="N9">
        <v>0</v>
      </c>
      <c r="O9">
        <v>0.2</v>
      </c>
      <c r="P9">
        <v>0.2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28</v>
      </c>
      <c r="B10">
        <v>0.25</v>
      </c>
      <c r="C10">
        <v>0.2</v>
      </c>
      <c r="D10">
        <v>1.9</v>
      </c>
      <c r="E10">
        <v>0.05</v>
      </c>
      <c r="F10">
        <v>0</v>
      </c>
      <c r="G10">
        <v>0.8</v>
      </c>
      <c r="H10">
        <v>0</v>
      </c>
      <c r="I10">
        <v>0</v>
      </c>
      <c r="J10">
        <v>1.7</v>
      </c>
      <c r="K10">
        <v>0</v>
      </c>
      <c r="L10">
        <v>1.9</v>
      </c>
      <c r="M10">
        <v>0.25</v>
      </c>
      <c r="N10">
        <v>0</v>
      </c>
      <c r="O10">
        <v>0.1</v>
      </c>
      <c r="P10">
        <v>0</v>
      </c>
      <c r="Q10">
        <v>0</v>
      </c>
      <c r="R10">
        <v>0.3</v>
      </c>
      <c r="S10">
        <v>0.05</v>
      </c>
      <c r="T10">
        <v>0</v>
      </c>
    </row>
    <row r="11" spans="1:20" x14ac:dyDescent="0.25">
      <c r="A11" t="s">
        <v>29</v>
      </c>
      <c r="B11">
        <v>0.5</v>
      </c>
      <c r="C11">
        <v>1.5</v>
      </c>
      <c r="D11">
        <v>3.2</v>
      </c>
      <c r="E11">
        <v>0.3</v>
      </c>
      <c r="F11">
        <v>0</v>
      </c>
      <c r="G11">
        <v>0</v>
      </c>
      <c r="H11">
        <v>0.4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30</v>
      </c>
      <c r="B12">
        <v>0</v>
      </c>
      <c r="C12">
        <v>0</v>
      </c>
      <c r="D12">
        <v>0</v>
      </c>
      <c r="E12">
        <v>0</v>
      </c>
      <c r="F12">
        <v>2.1</v>
      </c>
      <c r="G12">
        <v>0.8</v>
      </c>
      <c r="H12">
        <v>0.4</v>
      </c>
      <c r="I12">
        <v>0.5</v>
      </c>
      <c r="J12">
        <v>0.5</v>
      </c>
      <c r="K12">
        <v>0.4</v>
      </c>
      <c r="L12">
        <v>0.2</v>
      </c>
      <c r="M12">
        <v>0.9</v>
      </c>
      <c r="N12">
        <v>0.8</v>
      </c>
      <c r="O12">
        <v>0.45</v>
      </c>
      <c r="P12">
        <v>0.05</v>
      </c>
      <c r="Q12">
        <v>0.1</v>
      </c>
      <c r="R12">
        <v>0.5</v>
      </c>
      <c r="S12">
        <v>0.85</v>
      </c>
      <c r="T12">
        <v>0.1</v>
      </c>
    </row>
    <row r="13" spans="1:20" x14ac:dyDescent="0.25">
      <c r="A13" t="s">
        <v>31</v>
      </c>
      <c r="B13">
        <v>0</v>
      </c>
      <c r="C13">
        <v>0</v>
      </c>
      <c r="D13">
        <v>0</v>
      </c>
      <c r="E13">
        <v>0</v>
      </c>
      <c r="F13">
        <v>2.8</v>
      </c>
      <c r="G13">
        <v>2.4</v>
      </c>
      <c r="H13">
        <v>0</v>
      </c>
      <c r="I13">
        <v>3.3</v>
      </c>
      <c r="J13">
        <v>0</v>
      </c>
      <c r="K13">
        <v>4.7</v>
      </c>
      <c r="L13">
        <v>0</v>
      </c>
      <c r="M13">
        <v>0</v>
      </c>
      <c r="N13">
        <v>0</v>
      </c>
      <c r="O13">
        <v>0.8</v>
      </c>
      <c r="P13">
        <v>0</v>
      </c>
      <c r="Q13">
        <v>0</v>
      </c>
      <c r="R13">
        <v>0.05</v>
      </c>
      <c r="S13">
        <v>0.1</v>
      </c>
      <c r="T13">
        <v>0</v>
      </c>
    </row>
    <row r="14" spans="1:20" x14ac:dyDescent="0.25">
      <c r="A14" t="s">
        <v>32</v>
      </c>
      <c r="B14">
        <v>1.3</v>
      </c>
      <c r="C14">
        <v>8.9</v>
      </c>
      <c r="D14">
        <v>6.4</v>
      </c>
      <c r="E14">
        <v>8.5</v>
      </c>
      <c r="F14">
        <v>2.7</v>
      </c>
      <c r="G14">
        <v>2.5</v>
      </c>
      <c r="H14">
        <v>2</v>
      </c>
      <c r="I14">
        <v>1.1000000000000001</v>
      </c>
      <c r="J14">
        <v>8.1999999999999993</v>
      </c>
      <c r="K14">
        <v>0</v>
      </c>
      <c r="L14">
        <v>0.05</v>
      </c>
      <c r="M14">
        <v>0.15</v>
      </c>
      <c r="N14">
        <v>0.1</v>
      </c>
      <c r="O14">
        <v>0</v>
      </c>
      <c r="P14">
        <v>2.8</v>
      </c>
      <c r="Q14">
        <v>1.6</v>
      </c>
      <c r="R14">
        <v>5.6</v>
      </c>
      <c r="S14">
        <v>0.05</v>
      </c>
      <c r="T14">
        <v>1.7</v>
      </c>
    </row>
    <row r="15" spans="1:20" x14ac:dyDescent="0.25">
      <c r="A15" t="s">
        <v>33</v>
      </c>
      <c r="B15">
        <v>0.45</v>
      </c>
      <c r="C15">
        <v>1.3</v>
      </c>
      <c r="D15">
        <v>0.3</v>
      </c>
      <c r="E15">
        <v>0.15</v>
      </c>
      <c r="F15">
        <v>0.9</v>
      </c>
      <c r="G15">
        <v>1</v>
      </c>
      <c r="H15">
        <v>0.3</v>
      </c>
      <c r="I15">
        <v>0.9</v>
      </c>
      <c r="J15">
        <v>2.2999999999999998</v>
      </c>
      <c r="K15">
        <v>0.2</v>
      </c>
      <c r="L15">
        <v>0.3</v>
      </c>
      <c r="M15">
        <v>0.3</v>
      </c>
      <c r="N15">
        <v>0.1</v>
      </c>
      <c r="O15">
        <v>0.03</v>
      </c>
      <c r="P15">
        <v>1.7</v>
      </c>
      <c r="Q15">
        <v>0.2</v>
      </c>
      <c r="R15">
        <v>1.5</v>
      </c>
      <c r="S15">
        <v>0.7</v>
      </c>
      <c r="T15">
        <v>1</v>
      </c>
    </row>
    <row r="16" spans="1:20" x14ac:dyDescent="0.25">
      <c r="A16" t="s">
        <v>34</v>
      </c>
      <c r="B16">
        <v>0.4</v>
      </c>
      <c r="C16">
        <v>0.4</v>
      </c>
      <c r="D16">
        <v>0.6</v>
      </c>
      <c r="E16">
        <v>0.2</v>
      </c>
      <c r="F16">
        <v>1.3</v>
      </c>
      <c r="G16">
        <v>0</v>
      </c>
      <c r="H16">
        <v>0.2</v>
      </c>
      <c r="I16">
        <v>0.2</v>
      </c>
      <c r="J16">
        <v>0.03</v>
      </c>
      <c r="K16">
        <v>0</v>
      </c>
      <c r="L16">
        <v>0</v>
      </c>
      <c r="M16">
        <v>0</v>
      </c>
      <c r="N16">
        <v>0</v>
      </c>
      <c r="O16">
        <v>0</v>
      </c>
      <c r="P16">
        <v>0.1</v>
      </c>
      <c r="Q16">
        <v>0.2</v>
      </c>
      <c r="R16">
        <v>0</v>
      </c>
      <c r="S16">
        <v>0</v>
      </c>
      <c r="T16">
        <v>0.9</v>
      </c>
    </row>
    <row r="17" spans="1:20" x14ac:dyDescent="0.25">
      <c r="A17" t="s">
        <v>35</v>
      </c>
      <c r="B17">
        <v>0</v>
      </c>
      <c r="C17">
        <v>0</v>
      </c>
      <c r="D17">
        <v>0</v>
      </c>
      <c r="E17">
        <v>0</v>
      </c>
      <c r="F17">
        <v>0.3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0.5</v>
      </c>
      <c r="Q17">
        <v>0</v>
      </c>
      <c r="R17">
        <v>0.65</v>
      </c>
      <c r="S17">
        <v>0</v>
      </c>
      <c r="T17">
        <v>0</v>
      </c>
    </row>
    <row r="18" spans="1:20" x14ac:dyDescent="0.25">
      <c r="A18" t="s">
        <v>36</v>
      </c>
      <c r="B18">
        <v>0</v>
      </c>
      <c r="C18">
        <v>0</v>
      </c>
      <c r="D18">
        <v>0.1</v>
      </c>
      <c r="E18">
        <v>0.15</v>
      </c>
      <c r="F18">
        <v>0.03</v>
      </c>
      <c r="G18">
        <v>0</v>
      </c>
      <c r="H18">
        <v>0.1</v>
      </c>
      <c r="I18">
        <v>0</v>
      </c>
      <c r="J18">
        <v>0.3</v>
      </c>
      <c r="K18">
        <v>0</v>
      </c>
      <c r="L18">
        <v>0</v>
      </c>
      <c r="M18">
        <v>0.4</v>
      </c>
      <c r="N18">
        <v>0.2</v>
      </c>
      <c r="O18">
        <v>0</v>
      </c>
      <c r="P18">
        <v>0</v>
      </c>
      <c r="Q18">
        <v>0</v>
      </c>
      <c r="R18">
        <v>0</v>
      </c>
      <c r="S18">
        <v>0</v>
      </c>
      <c r="T18">
        <v>0.05</v>
      </c>
    </row>
    <row r="19" spans="1:20" x14ac:dyDescent="0.25">
      <c r="A19" t="s">
        <v>37</v>
      </c>
      <c r="B19">
        <v>0.05</v>
      </c>
      <c r="C19">
        <v>0</v>
      </c>
      <c r="D19">
        <v>0.3</v>
      </c>
      <c r="E19">
        <v>0.05</v>
      </c>
      <c r="F19">
        <v>2.5</v>
      </c>
      <c r="G19">
        <v>1.5</v>
      </c>
      <c r="H19">
        <v>0.45</v>
      </c>
      <c r="I19">
        <v>0.4</v>
      </c>
      <c r="J19">
        <v>2.7</v>
      </c>
      <c r="K19">
        <v>17.3</v>
      </c>
      <c r="L19">
        <v>11.2</v>
      </c>
      <c r="M19">
        <v>11.6</v>
      </c>
      <c r="N19">
        <v>5</v>
      </c>
      <c r="O19">
        <v>23.6</v>
      </c>
      <c r="P19">
        <v>3</v>
      </c>
      <c r="Q19">
        <v>0.7</v>
      </c>
      <c r="R19">
        <v>0</v>
      </c>
      <c r="S19">
        <v>0.4</v>
      </c>
      <c r="T19">
        <v>0.1</v>
      </c>
    </row>
    <row r="20" spans="1:20" x14ac:dyDescent="0.25">
      <c r="A20" t="s">
        <v>38</v>
      </c>
      <c r="B20">
        <v>0.03</v>
      </c>
      <c r="C20">
        <v>0</v>
      </c>
      <c r="D20">
        <v>0.05</v>
      </c>
      <c r="E20">
        <v>0</v>
      </c>
      <c r="F20">
        <v>0.05</v>
      </c>
      <c r="G20">
        <v>0.8</v>
      </c>
      <c r="H20">
        <v>0</v>
      </c>
      <c r="I20">
        <v>0.3</v>
      </c>
      <c r="J20">
        <v>0</v>
      </c>
      <c r="K20">
        <v>0</v>
      </c>
      <c r="L20">
        <v>0</v>
      </c>
      <c r="M20">
        <v>0.15</v>
      </c>
      <c r="N20">
        <v>0</v>
      </c>
      <c r="O20">
        <v>0.1</v>
      </c>
      <c r="P20">
        <v>0.05</v>
      </c>
      <c r="Q20">
        <v>0.1</v>
      </c>
      <c r="R20">
        <v>0</v>
      </c>
      <c r="S20">
        <v>0</v>
      </c>
      <c r="T20">
        <v>0</v>
      </c>
    </row>
    <row r="21" spans="1:20" x14ac:dyDescent="0.25">
      <c r="A21" t="s">
        <v>39</v>
      </c>
      <c r="B21">
        <v>0.3</v>
      </c>
      <c r="C21">
        <v>0.5</v>
      </c>
      <c r="D21">
        <v>2.2000000000000002</v>
      </c>
      <c r="E21">
        <v>0.6</v>
      </c>
      <c r="F21">
        <v>1.3</v>
      </c>
      <c r="G21">
        <v>0.7</v>
      </c>
      <c r="H21">
        <v>0.35</v>
      </c>
      <c r="I21">
        <v>0.03</v>
      </c>
      <c r="J21">
        <v>0.9</v>
      </c>
      <c r="K21">
        <v>0.1</v>
      </c>
      <c r="L21">
        <v>0.05</v>
      </c>
      <c r="M21">
        <v>0</v>
      </c>
      <c r="N21">
        <v>0</v>
      </c>
      <c r="O21">
        <v>0.5</v>
      </c>
      <c r="P21">
        <v>0.7</v>
      </c>
      <c r="Q21">
        <v>0.8</v>
      </c>
      <c r="R21">
        <v>1</v>
      </c>
      <c r="S21">
        <v>0.4</v>
      </c>
      <c r="T21">
        <v>1.2</v>
      </c>
    </row>
    <row r="22" spans="1:20" x14ac:dyDescent="0.25">
      <c r="A22" t="s">
        <v>40</v>
      </c>
      <c r="B22">
        <v>0</v>
      </c>
      <c r="C22">
        <v>0</v>
      </c>
      <c r="D22">
        <v>0</v>
      </c>
      <c r="E22">
        <v>0</v>
      </c>
      <c r="F22">
        <v>0.02</v>
      </c>
      <c r="G22">
        <v>0.05</v>
      </c>
      <c r="H22">
        <v>0.2</v>
      </c>
      <c r="I22">
        <v>0</v>
      </c>
      <c r="J22">
        <v>0.6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41</v>
      </c>
      <c r="B23">
        <v>0</v>
      </c>
      <c r="C23">
        <v>0.4</v>
      </c>
      <c r="D23">
        <v>0.2</v>
      </c>
      <c r="E23">
        <v>0.6</v>
      </c>
      <c r="F23">
        <v>0</v>
      </c>
      <c r="G23">
        <v>0.1</v>
      </c>
      <c r="H23">
        <v>0.2</v>
      </c>
      <c r="I23">
        <v>0.1</v>
      </c>
      <c r="J23">
        <v>0.03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0.3</v>
      </c>
    </row>
    <row r="24" spans="1:20" x14ac:dyDescent="0.25">
      <c r="A24" t="s">
        <v>42</v>
      </c>
      <c r="B24">
        <v>0</v>
      </c>
      <c r="C24">
        <v>0</v>
      </c>
      <c r="D24">
        <v>0</v>
      </c>
      <c r="E24">
        <v>0</v>
      </c>
      <c r="F24">
        <v>4.2</v>
      </c>
      <c r="G24">
        <v>5.2</v>
      </c>
      <c r="I24">
        <v>6.3</v>
      </c>
      <c r="J24">
        <v>0.9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0.3</v>
      </c>
      <c r="S24">
        <v>0</v>
      </c>
      <c r="T24">
        <v>0</v>
      </c>
    </row>
    <row r="25" spans="1:20" x14ac:dyDescent="0.25">
      <c r="A25" t="s">
        <v>43</v>
      </c>
      <c r="B25">
        <v>0.05</v>
      </c>
      <c r="C25">
        <v>0.5</v>
      </c>
      <c r="D25">
        <v>0.5</v>
      </c>
      <c r="E25">
        <v>0.1</v>
      </c>
      <c r="F25">
        <v>0.05</v>
      </c>
      <c r="G25">
        <v>0.1</v>
      </c>
      <c r="H25">
        <v>0</v>
      </c>
      <c r="I25">
        <v>0</v>
      </c>
      <c r="J25">
        <v>0.2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44</v>
      </c>
      <c r="B26">
        <v>2.5</v>
      </c>
      <c r="C26">
        <v>1.2</v>
      </c>
      <c r="D26">
        <v>1.2</v>
      </c>
      <c r="E26">
        <v>1.4</v>
      </c>
      <c r="F26">
        <v>6</v>
      </c>
      <c r="G26">
        <v>5.9</v>
      </c>
      <c r="H26">
        <v>1.1000000000000001</v>
      </c>
      <c r="I26">
        <v>0.45</v>
      </c>
      <c r="J26">
        <v>4.5</v>
      </c>
      <c r="K26">
        <v>2.8</v>
      </c>
      <c r="L26">
        <v>0</v>
      </c>
      <c r="M26">
        <v>0</v>
      </c>
      <c r="N26">
        <v>11.6</v>
      </c>
      <c r="O26">
        <v>5.7</v>
      </c>
      <c r="P26">
        <v>19</v>
      </c>
      <c r="Q26">
        <v>27.5</v>
      </c>
      <c r="R26">
        <v>38.6</v>
      </c>
      <c r="S26">
        <v>9.85</v>
      </c>
      <c r="T26">
        <v>7.1</v>
      </c>
    </row>
    <row r="27" spans="1:20" x14ac:dyDescent="0.25">
      <c r="A27" t="s">
        <v>45</v>
      </c>
      <c r="B27">
        <v>0</v>
      </c>
      <c r="C27">
        <v>0</v>
      </c>
      <c r="D27">
        <v>0</v>
      </c>
      <c r="E27">
        <v>0</v>
      </c>
      <c r="F27">
        <v>0.5</v>
      </c>
      <c r="G27">
        <v>0.65</v>
      </c>
      <c r="H27">
        <v>1.3</v>
      </c>
      <c r="I27">
        <v>0</v>
      </c>
      <c r="J27">
        <v>0.5</v>
      </c>
      <c r="K27">
        <v>0</v>
      </c>
      <c r="L27">
        <v>0.3</v>
      </c>
      <c r="M27">
        <v>3.9</v>
      </c>
      <c r="N27">
        <v>2.5</v>
      </c>
      <c r="O27">
        <v>0.8</v>
      </c>
      <c r="P27">
        <v>0</v>
      </c>
      <c r="Q27">
        <v>0</v>
      </c>
      <c r="R27">
        <v>0.8</v>
      </c>
      <c r="S27">
        <v>0.4</v>
      </c>
      <c r="T27">
        <v>1.1000000000000001</v>
      </c>
    </row>
    <row r="28" spans="1:20" x14ac:dyDescent="0.25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0.05</v>
      </c>
      <c r="H28">
        <v>0.1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47</v>
      </c>
      <c r="B29">
        <v>0</v>
      </c>
      <c r="C29">
        <v>0</v>
      </c>
      <c r="D29">
        <v>0</v>
      </c>
      <c r="E29">
        <v>0</v>
      </c>
      <c r="F29">
        <v>0.02</v>
      </c>
      <c r="G29">
        <v>0.05</v>
      </c>
      <c r="H29">
        <v>0</v>
      </c>
      <c r="I29">
        <v>0.4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48</v>
      </c>
      <c r="B30">
        <v>0</v>
      </c>
      <c r="C30">
        <v>0.3</v>
      </c>
      <c r="D30">
        <v>0</v>
      </c>
      <c r="E30">
        <v>0.7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49</v>
      </c>
      <c r="B31">
        <v>0</v>
      </c>
      <c r="C31">
        <v>0</v>
      </c>
      <c r="D31">
        <v>0</v>
      </c>
      <c r="E31">
        <v>0</v>
      </c>
      <c r="F31">
        <v>0.2</v>
      </c>
      <c r="G31">
        <v>0.5</v>
      </c>
      <c r="H31">
        <v>0.1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0.2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0.6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3.55</v>
      </c>
      <c r="T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workbookViewId="0">
      <selection activeCell="P13" sqref="P13"/>
    </sheetView>
  </sheetViews>
  <sheetFormatPr defaultRowHeight="15" x14ac:dyDescent="0.25"/>
  <cols>
    <col min="1" max="1" width="25.5703125" bestFit="1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20</v>
      </c>
      <c r="B2">
        <f>исходные!B2</f>
        <v>4.4000000000000004</v>
      </c>
      <c r="C2">
        <f>B2+исходные!C2</f>
        <v>5.1000000000000005</v>
      </c>
      <c r="D2">
        <f>C2+исходные!D2</f>
        <v>6.8500000000000005</v>
      </c>
      <c r="E2">
        <f>D2+исходные!E2</f>
        <v>6.8500000000000005</v>
      </c>
      <c r="F2">
        <f>E2+исходные!F2</f>
        <v>6.8500000000000005</v>
      </c>
      <c r="G2">
        <f>F2+исходные!G2</f>
        <v>6.8500000000000005</v>
      </c>
      <c r="H2">
        <f>G2+исходные!H2</f>
        <v>6.8500000000000005</v>
      </c>
      <c r="I2">
        <f>H2+исходные!I2</f>
        <v>6.8500000000000005</v>
      </c>
      <c r="J2">
        <f>I2+исходные!J2</f>
        <v>6.8500000000000005</v>
      </c>
      <c r="K2">
        <f>J2+исходные!K2</f>
        <v>6.8500000000000005</v>
      </c>
      <c r="L2">
        <f>K2+исходные!L2</f>
        <v>6.8500000000000005</v>
      </c>
      <c r="M2">
        <f>L2+исходные!M2</f>
        <v>6.8500000000000005</v>
      </c>
      <c r="N2">
        <f>M2+исходные!N2</f>
        <v>6.8500000000000005</v>
      </c>
      <c r="O2">
        <f>N2+исходные!O2</f>
        <v>6.8500000000000005</v>
      </c>
      <c r="P2">
        <f>O2+исходные!P2</f>
        <v>6.8500000000000005</v>
      </c>
      <c r="Q2">
        <f>P2+исходные!Q2</f>
        <v>6.8500000000000005</v>
      </c>
      <c r="R2">
        <f>Q2+исходные!R2</f>
        <v>7.0500000000000007</v>
      </c>
      <c r="S2">
        <f>R2+исходные!S2</f>
        <v>7.0500000000000007</v>
      </c>
      <c r="T2">
        <f>S2+исходные!T2</f>
        <v>8.0500000000000007</v>
      </c>
    </row>
    <row r="3" spans="1:20" x14ac:dyDescent="0.25">
      <c r="A3" t="s">
        <v>21</v>
      </c>
      <c r="B3">
        <f>исходные!B3</f>
        <v>7.5</v>
      </c>
      <c r="C3">
        <f>B3+исходные!C3</f>
        <v>45</v>
      </c>
      <c r="D3">
        <f>C3+исходные!D3</f>
        <v>50.2</v>
      </c>
      <c r="E3">
        <f>D3+исходные!E3</f>
        <v>69.5</v>
      </c>
      <c r="F3">
        <f>E3+исходные!F3</f>
        <v>75.7</v>
      </c>
      <c r="G3">
        <f>F3+исходные!G3</f>
        <v>81.5</v>
      </c>
      <c r="H3">
        <f>G3+исходные!H3</f>
        <v>99.7</v>
      </c>
      <c r="I3">
        <f>H3+исходные!I3</f>
        <v>104.10000000000001</v>
      </c>
      <c r="J3">
        <f>I3+исходные!J3</f>
        <v>109.2</v>
      </c>
      <c r="K3">
        <f>J3+исходные!K3</f>
        <v>132.80000000000001</v>
      </c>
      <c r="L3">
        <f>K3+исходные!L3</f>
        <v>152.30000000000001</v>
      </c>
      <c r="M3">
        <f>L3+исходные!M3</f>
        <v>175.5</v>
      </c>
      <c r="N3">
        <f>M3+исходные!N3</f>
        <v>181.6</v>
      </c>
      <c r="O3">
        <f>N3+исходные!O3</f>
        <v>198.6</v>
      </c>
      <c r="P3">
        <f>O3+исходные!P3</f>
        <v>203.7</v>
      </c>
      <c r="Q3">
        <f>P3+исходные!Q3</f>
        <v>210.29999999999998</v>
      </c>
      <c r="R3">
        <f>Q3+исходные!R3</f>
        <v>223.1</v>
      </c>
      <c r="S3">
        <f>R3+исходные!S3</f>
        <v>227.7</v>
      </c>
      <c r="T3">
        <f>S3+исходные!T3</f>
        <v>233.7</v>
      </c>
    </row>
    <row r="4" spans="1:20" x14ac:dyDescent="0.25">
      <c r="A4" t="s">
        <v>22</v>
      </c>
      <c r="B4">
        <f>исходные!B4</f>
        <v>0</v>
      </c>
      <c r="C4">
        <f>B4+исходные!C4</f>
        <v>0</v>
      </c>
      <c r="D4">
        <f>C4+исходные!D4</f>
        <v>0</v>
      </c>
      <c r="E4">
        <f>D4+исходные!E4</f>
        <v>0</v>
      </c>
      <c r="F4">
        <f>E4+исходные!F4</f>
        <v>0</v>
      </c>
      <c r="G4">
        <f>F4+исходные!G4</f>
        <v>0.05</v>
      </c>
      <c r="H4">
        <f>G4+исходные!H4</f>
        <v>7.0000000000000007E-2</v>
      </c>
      <c r="I4">
        <f>H4+исходные!I4</f>
        <v>0.08</v>
      </c>
      <c r="J4">
        <f>I4+исходные!J4</f>
        <v>0.08</v>
      </c>
      <c r="K4">
        <f>J4+исходные!K4</f>
        <v>0.08</v>
      </c>
      <c r="L4">
        <f>K4+исходные!L4</f>
        <v>0.28000000000000003</v>
      </c>
      <c r="M4">
        <f>L4+исходные!M4</f>
        <v>0.28000000000000003</v>
      </c>
      <c r="N4">
        <f>M4+исходные!N4</f>
        <v>0.28000000000000003</v>
      </c>
      <c r="O4">
        <f>N4+исходные!O4</f>
        <v>0.28000000000000003</v>
      </c>
      <c r="P4">
        <f>O4+исходные!P4</f>
        <v>0.28000000000000003</v>
      </c>
      <c r="Q4">
        <f>P4+исходные!Q4</f>
        <v>0.28000000000000003</v>
      </c>
      <c r="R4">
        <f>Q4+исходные!R4</f>
        <v>0.28000000000000003</v>
      </c>
      <c r="S4">
        <f>R4+исходные!S4</f>
        <v>0.28000000000000003</v>
      </c>
      <c r="T4">
        <f>S4+исходные!T4</f>
        <v>0.28000000000000003</v>
      </c>
    </row>
    <row r="5" spans="1:20" x14ac:dyDescent="0.25">
      <c r="A5" t="s">
        <v>23</v>
      </c>
      <c r="B5">
        <f>исходные!B5</f>
        <v>0.03</v>
      </c>
      <c r="C5">
        <f>B5+исходные!C5</f>
        <v>0.23</v>
      </c>
      <c r="D5">
        <f>C5+исходные!D5</f>
        <v>0.23</v>
      </c>
      <c r="E5">
        <f>D5+исходные!E5</f>
        <v>0.33</v>
      </c>
      <c r="F5">
        <f>E5+исходные!F5</f>
        <v>1.9300000000000002</v>
      </c>
      <c r="G5">
        <f>F5+исходные!G5</f>
        <v>2.63</v>
      </c>
      <c r="H5">
        <f>G5+исходные!H5</f>
        <v>2.73</v>
      </c>
      <c r="I5">
        <f>H5+исходные!I5</f>
        <v>2.76</v>
      </c>
      <c r="J5">
        <f>I5+исходные!J5</f>
        <v>4.26</v>
      </c>
      <c r="K5">
        <f>J5+исходные!K5</f>
        <v>4.26</v>
      </c>
      <c r="L5">
        <f>K5+исходные!L5</f>
        <v>4.26</v>
      </c>
      <c r="M5">
        <f>L5+исходные!M5</f>
        <v>4.3099999999999996</v>
      </c>
      <c r="N5">
        <f>M5+исходные!N5</f>
        <v>4.51</v>
      </c>
      <c r="O5">
        <f>N5+исходные!O5</f>
        <v>4.51</v>
      </c>
      <c r="P5">
        <f>O5+исходные!P5</f>
        <v>5.41</v>
      </c>
      <c r="Q5">
        <f>P5+исходные!Q5</f>
        <v>5.41</v>
      </c>
      <c r="R5">
        <f>Q5+исходные!R5</f>
        <v>5.42</v>
      </c>
      <c r="S5">
        <f>R5+исходные!S5</f>
        <v>5.72</v>
      </c>
      <c r="T5">
        <f>S5+исходные!T5</f>
        <v>5.7399999999999993</v>
      </c>
    </row>
    <row r="6" spans="1:20" x14ac:dyDescent="0.25">
      <c r="A6" t="s">
        <v>24</v>
      </c>
      <c r="B6">
        <f>исходные!B6</f>
        <v>0</v>
      </c>
      <c r="C6">
        <f>B6+исходные!C6</f>
        <v>0</v>
      </c>
      <c r="D6">
        <f>C6+исходные!D6</f>
        <v>0</v>
      </c>
      <c r="E6">
        <f>D6+исходные!E6</f>
        <v>0</v>
      </c>
      <c r="F6">
        <f>E6+исходные!F6</f>
        <v>0.01</v>
      </c>
      <c r="G6">
        <f>F6+исходные!G6</f>
        <v>0.01</v>
      </c>
      <c r="H6">
        <f>G6+исходные!H6</f>
        <v>0.01</v>
      </c>
      <c r="I6">
        <f>H6+исходные!I6</f>
        <v>6.0000000000000005E-2</v>
      </c>
      <c r="J6">
        <f>I6+исходные!J6</f>
        <v>6.0000000000000005E-2</v>
      </c>
      <c r="K6">
        <f>J6+исходные!K6</f>
        <v>6.0000000000000005E-2</v>
      </c>
      <c r="L6">
        <f>K6+исходные!L6</f>
        <v>6.0000000000000005E-2</v>
      </c>
      <c r="M6">
        <f>L6+исходные!M6</f>
        <v>0.16</v>
      </c>
      <c r="N6">
        <f>M6+исходные!N6</f>
        <v>0.26</v>
      </c>
      <c r="O6">
        <f>N6+исходные!O6</f>
        <v>0.56000000000000005</v>
      </c>
      <c r="P6">
        <f>O6+исходные!P6</f>
        <v>0.76</v>
      </c>
      <c r="Q6">
        <f>P6+исходные!Q6</f>
        <v>0.86</v>
      </c>
      <c r="R6">
        <f>Q6+исходные!R6</f>
        <v>0.86</v>
      </c>
      <c r="S6">
        <f>R6+исходные!S6</f>
        <v>1.26</v>
      </c>
      <c r="T6">
        <f>S6+исходные!T6</f>
        <v>1.36</v>
      </c>
    </row>
    <row r="7" spans="1:20" x14ac:dyDescent="0.25">
      <c r="A7" t="s">
        <v>25</v>
      </c>
      <c r="B7">
        <f>исходные!B7</f>
        <v>0</v>
      </c>
      <c r="C7">
        <f>B7+исходные!C7</f>
        <v>0</v>
      </c>
      <c r="D7">
        <f>C7+исходные!D7</f>
        <v>0.1</v>
      </c>
      <c r="E7">
        <f>D7+исходные!E7</f>
        <v>0.1</v>
      </c>
      <c r="F7">
        <f>E7+исходные!F7</f>
        <v>0.1</v>
      </c>
      <c r="G7">
        <f>F7+исходные!G7</f>
        <v>0.1</v>
      </c>
      <c r="H7">
        <f>G7+исходные!H7</f>
        <v>0.12000000000000001</v>
      </c>
      <c r="I7">
        <f>H7+исходные!I7</f>
        <v>0.12000000000000001</v>
      </c>
      <c r="J7">
        <f>I7+исходные!J7</f>
        <v>0.12000000000000001</v>
      </c>
      <c r="K7">
        <f>J7+исходные!K7</f>
        <v>0.12000000000000001</v>
      </c>
      <c r="L7">
        <f>K7+исходные!L7</f>
        <v>0.12000000000000001</v>
      </c>
      <c r="M7">
        <f>L7+исходные!M7</f>
        <v>0.12000000000000001</v>
      </c>
      <c r="N7">
        <f>M7+исходные!N7</f>
        <v>0.12000000000000001</v>
      </c>
      <c r="O7">
        <f>N7+исходные!O7</f>
        <v>0.12000000000000001</v>
      </c>
      <c r="P7">
        <f>O7+исходные!P7</f>
        <v>2.42</v>
      </c>
      <c r="Q7">
        <f>P7+исходные!Q7</f>
        <v>5.72</v>
      </c>
      <c r="R7">
        <f>Q7+исходные!R7</f>
        <v>6.22</v>
      </c>
      <c r="S7">
        <f>R7+исходные!S7</f>
        <v>6.22</v>
      </c>
      <c r="T7">
        <f>S7+исходные!T7</f>
        <v>6.22</v>
      </c>
    </row>
    <row r="8" spans="1:20" x14ac:dyDescent="0.25">
      <c r="A8" t="s">
        <v>26</v>
      </c>
      <c r="B8">
        <f>исходные!B8</f>
        <v>0</v>
      </c>
      <c r="C8">
        <f>B8+исходные!C8</f>
        <v>0</v>
      </c>
      <c r="D8">
        <f>C8+исходные!D8</f>
        <v>0</v>
      </c>
      <c r="E8">
        <f>D8+исходные!E8</f>
        <v>0</v>
      </c>
      <c r="F8">
        <f>E8+исходные!F8</f>
        <v>0</v>
      </c>
      <c r="G8">
        <f>F8+исходные!G8</f>
        <v>0.5</v>
      </c>
      <c r="H8">
        <f>G8+исходные!H8</f>
        <v>0.85</v>
      </c>
      <c r="I8">
        <f>H8+исходные!I8</f>
        <v>0.95</v>
      </c>
      <c r="J8">
        <f>I8+исходные!J8</f>
        <v>1.25</v>
      </c>
      <c r="K8">
        <f>J8+исходные!K8</f>
        <v>2.0499999999999998</v>
      </c>
      <c r="L8">
        <f>K8+исходные!L8</f>
        <v>3.55</v>
      </c>
      <c r="M8">
        <f>L8+исходные!M8</f>
        <v>4.25</v>
      </c>
      <c r="N8">
        <f>M8+исходные!N8</f>
        <v>4.95</v>
      </c>
      <c r="O8">
        <f>N8+исходные!O8</f>
        <v>5.65</v>
      </c>
      <c r="P8">
        <f>O8+исходные!P8</f>
        <v>5.65</v>
      </c>
      <c r="Q8">
        <f>P8+исходные!Q8</f>
        <v>5.65</v>
      </c>
      <c r="R8">
        <f>Q8+исходные!R8</f>
        <v>5.7</v>
      </c>
      <c r="S8">
        <f>R8+исходные!S8</f>
        <v>6.3</v>
      </c>
      <c r="T8">
        <f>S8+исходные!T8</f>
        <v>7.8</v>
      </c>
    </row>
    <row r="9" spans="1:20" x14ac:dyDescent="0.25">
      <c r="A9" t="s">
        <v>27</v>
      </c>
      <c r="B9">
        <f>исходные!B9</f>
        <v>0</v>
      </c>
      <c r="C9">
        <f>B9+исходные!C9</f>
        <v>0</v>
      </c>
      <c r="D9">
        <f>C9+исходные!D9</f>
        <v>0</v>
      </c>
      <c r="E9">
        <f>D9+исходные!E9</f>
        <v>0</v>
      </c>
      <c r="F9">
        <f>E9+исходные!F9</f>
        <v>0</v>
      </c>
      <c r="G9">
        <f>F9+исходные!G9</f>
        <v>0</v>
      </c>
      <c r="H9">
        <f>G9+исходные!H9</f>
        <v>0</v>
      </c>
      <c r="I9">
        <f>H9+исходные!I9</f>
        <v>0</v>
      </c>
      <c r="J9">
        <f>I9+исходные!J9</f>
        <v>1.6</v>
      </c>
      <c r="K9">
        <f>J9+исходные!K9</f>
        <v>1.6</v>
      </c>
      <c r="L9">
        <f>K9+исходные!L9</f>
        <v>4</v>
      </c>
      <c r="M9">
        <f>L9+исходные!M9</f>
        <v>4</v>
      </c>
      <c r="N9">
        <f>M9+исходные!N9</f>
        <v>4</v>
      </c>
      <c r="O9">
        <f>N9+исходные!O9</f>
        <v>4.2</v>
      </c>
      <c r="P9">
        <f>O9+исходные!P9</f>
        <v>4.4000000000000004</v>
      </c>
      <c r="Q9">
        <f>P9+исходные!Q9</f>
        <v>4.4000000000000004</v>
      </c>
      <c r="R9">
        <f>Q9+исходные!R9</f>
        <v>4.4000000000000004</v>
      </c>
      <c r="S9">
        <f>R9+исходные!S9</f>
        <v>4.4000000000000004</v>
      </c>
      <c r="T9">
        <f>S9+исходные!T9</f>
        <v>4.4000000000000004</v>
      </c>
    </row>
    <row r="10" spans="1:20" x14ac:dyDescent="0.25">
      <c r="A10" t="s">
        <v>28</v>
      </c>
      <c r="B10">
        <f>исходные!B10</f>
        <v>0.25</v>
      </c>
      <c r="C10">
        <f>B10+исходные!C10</f>
        <v>0.45</v>
      </c>
      <c r="D10">
        <f>C10+исходные!D10</f>
        <v>2.35</v>
      </c>
      <c r="E10">
        <f>D10+исходные!E10</f>
        <v>2.4</v>
      </c>
      <c r="F10">
        <f>E10+исходные!F10</f>
        <v>2.4</v>
      </c>
      <c r="G10">
        <f>F10+исходные!G10</f>
        <v>3.2</v>
      </c>
      <c r="H10">
        <f>G10+исходные!H10</f>
        <v>3.2</v>
      </c>
      <c r="I10">
        <f>H10+исходные!I10</f>
        <v>3.2</v>
      </c>
      <c r="J10">
        <f>I10+исходные!J10</f>
        <v>4.9000000000000004</v>
      </c>
      <c r="K10">
        <f>J10+исходные!K10</f>
        <v>4.9000000000000004</v>
      </c>
      <c r="L10">
        <f>K10+исходные!L10</f>
        <v>6.8000000000000007</v>
      </c>
      <c r="M10">
        <f>L10+исходные!M10</f>
        <v>7.0500000000000007</v>
      </c>
      <c r="N10">
        <f>M10+исходные!N10</f>
        <v>7.0500000000000007</v>
      </c>
      <c r="O10">
        <f>N10+исходные!O10</f>
        <v>7.15</v>
      </c>
      <c r="P10">
        <f>O10+исходные!P10</f>
        <v>7.15</v>
      </c>
      <c r="Q10">
        <f>P10+исходные!Q10</f>
        <v>7.15</v>
      </c>
      <c r="R10">
        <f>Q10+исходные!R10</f>
        <v>7.45</v>
      </c>
      <c r="S10">
        <f>R10+исходные!S10</f>
        <v>7.5</v>
      </c>
      <c r="T10">
        <f>S10+исходные!T10</f>
        <v>7.5</v>
      </c>
    </row>
    <row r="11" spans="1:20" x14ac:dyDescent="0.25">
      <c r="A11" t="s">
        <v>29</v>
      </c>
      <c r="B11">
        <f>исходные!B11</f>
        <v>0.5</v>
      </c>
      <c r="C11">
        <f>B11+исходные!C11</f>
        <v>2</v>
      </c>
      <c r="D11">
        <f>C11+исходные!D11</f>
        <v>5.2</v>
      </c>
      <c r="E11">
        <f>D11+исходные!E11</f>
        <v>5.5</v>
      </c>
      <c r="F11">
        <f>E11+исходные!F11</f>
        <v>5.5</v>
      </c>
      <c r="G11">
        <f>F11+исходные!G11</f>
        <v>5.5</v>
      </c>
      <c r="H11">
        <f>G11+исходные!H11</f>
        <v>5.9</v>
      </c>
      <c r="I11">
        <f>H11+исходные!I11</f>
        <v>5.9</v>
      </c>
      <c r="J11">
        <f>I11+исходные!J11</f>
        <v>5.9</v>
      </c>
      <c r="K11">
        <f>J11+исходные!K11</f>
        <v>5.9</v>
      </c>
      <c r="L11">
        <f>K11+исходные!L11</f>
        <v>5.9</v>
      </c>
      <c r="M11">
        <f>L11+исходные!M11</f>
        <v>5.9</v>
      </c>
      <c r="N11">
        <f>M11+исходные!N11</f>
        <v>5.9</v>
      </c>
      <c r="O11">
        <f>N11+исходные!O11</f>
        <v>5.9</v>
      </c>
      <c r="P11">
        <f>O11+исходные!P11</f>
        <v>5.9</v>
      </c>
      <c r="Q11">
        <f>P11+исходные!Q11</f>
        <v>5.9</v>
      </c>
      <c r="R11">
        <f>Q11+исходные!R11</f>
        <v>5.9</v>
      </c>
      <c r="S11">
        <f>R11+исходные!S11</f>
        <v>5.9</v>
      </c>
      <c r="T11">
        <f>S11+исходные!T11</f>
        <v>5.9</v>
      </c>
    </row>
    <row r="12" spans="1:20" x14ac:dyDescent="0.25">
      <c r="A12" t="s">
        <v>30</v>
      </c>
      <c r="B12">
        <f>исходные!B12</f>
        <v>0</v>
      </c>
      <c r="C12">
        <f>B12+исходные!C12</f>
        <v>0</v>
      </c>
      <c r="D12">
        <f>C12+исходные!D12</f>
        <v>0</v>
      </c>
      <c r="E12">
        <f>D12+исходные!E12</f>
        <v>0</v>
      </c>
      <c r="F12">
        <f>E12+исходные!F12</f>
        <v>2.1</v>
      </c>
      <c r="G12">
        <f>F12+исходные!G12</f>
        <v>2.9000000000000004</v>
      </c>
      <c r="H12">
        <f>G12+исходные!H12</f>
        <v>3.3000000000000003</v>
      </c>
      <c r="I12">
        <f>H12+исходные!I12</f>
        <v>3.8000000000000003</v>
      </c>
      <c r="J12">
        <f>I12+исходные!J12</f>
        <v>4.3000000000000007</v>
      </c>
      <c r="K12">
        <f>J12+исходные!K12</f>
        <v>4.7000000000000011</v>
      </c>
      <c r="L12">
        <f>K12+исходные!L12</f>
        <v>4.9000000000000012</v>
      </c>
      <c r="M12">
        <f>L12+исходные!M12</f>
        <v>5.8000000000000016</v>
      </c>
      <c r="N12">
        <f>M12+исходные!N12</f>
        <v>6.6000000000000014</v>
      </c>
      <c r="O12">
        <f>N12+исходные!O12</f>
        <v>7.0500000000000016</v>
      </c>
      <c r="P12">
        <f>O12+исходные!P12</f>
        <v>7.1000000000000014</v>
      </c>
      <c r="Q12">
        <f>P12+исходные!Q12</f>
        <v>7.2000000000000011</v>
      </c>
      <c r="R12">
        <f>Q12+исходные!R12</f>
        <v>7.7000000000000011</v>
      </c>
      <c r="S12">
        <f>R12+исходные!S12</f>
        <v>8.5500000000000007</v>
      </c>
      <c r="T12">
        <f>S12+исходные!T12</f>
        <v>8.65</v>
      </c>
    </row>
    <row r="13" spans="1:20" x14ac:dyDescent="0.25">
      <c r="A13" t="s">
        <v>31</v>
      </c>
      <c r="B13">
        <f>исходные!B13</f>
        <v>0</v>
      </c>
      <c r="C13">
        <f>B13+исходные!C13</f>
        <v>0</v>
      </c>
      <c r="D13">
        <f>C13+исходные!D13</f>
        <v>0</v>
      </c>
      <c r="E13">
        <f>D13+исходные!E13</f>
        <v>0</v>
      </c>
      <c r="F13">
        <f>E13+исходные!F13</f>
        <v>2.8</v>
      </c>
      <c r="G13">
        <f>F13+исходные!G13</f>
        <v>5.1999999999999993</v>
      </c>
      <c r="H13">
        <f>G13+исходные!H13</f>
        <v>5.1999999999999993</v>
      </c>
      <c r="I13">
        <f>H13+исходные!I13</f>
        <v>8.5</v>
      </c>
      <c r="J13">
        <f>I13+исходные!J13</f>
        <v>8.5</v>
      </c>
      <c r="K13">
        <f>J13+исходные!K13</f>
        <v>13.2</v>
      </c>
      <c r="L13">
        <f>K13+исходные!L13</f>
        <v>13.2</v>
      </c>
      <c r="M13">
        <f>L13+исходные!M13</f>
        <v>13.2</v>
      </c>
      <c r="N13">
        <f>M13+исходные!N13</f>
        <v>13.2</v>
      </c>
      <c r="O13">
        <f>N13+исходные!O13</f>
        <v>14</v>
      </c>
      <c r="P13">
        <f>O13+исходные!P13</f>
        <v>14</v>
      </c>
      <c r="Q13">
        <f>P13+исходные!Q13</f>
        <v>14</v>
      </c>
      <c r="R13">
        <f>Q13+исходные!R13</f>
        <v>14.05</v>
      </c>
      <c r="S13">
        <f>R13+исходные!S13</f>
        <v>14.15</v>
      </c>
      <c r="T13">
        <f>S13+исходные!T13</f>
        <v>14.15</v>
      </c>
    </row>
    <row r="14" spans="1:20" x14ac:dyDescent="0.25">
      <c r="A14" t="s">
        <v>32</v>
      </c>
      <c r="B14">
        <f>исходные!B14</f>
        <v>1.3</v>
      </c>
      <c r="C14">
        <f>B14+исходные!C14</f>
        <v>10.200000000000001</v>
      </c>
      <c r="D14">
        <f>C14+исходные!D14</f>
        <v>16.600000000000001</v>
      </c>
      <c r="E14">
        <f>D14+исходные!E14</f>
        <v>25.1</v>
      </c>
      <c r="F14">
        <f>E14+исходные!F14</f>
        <v>27.8</v>
      </c>
      <c r="G14">
        <f>F14+исходные!G14</f>
        <v>30.3</v>
      </c>
      <c r="H14">
        <f>G14+исходные!H14</f>
        <v>32.299999999999997</v>
      </c>
      <c r="I14">
        <f>H14+исходные!I14</f>
        <v>33.4</v>
      </c>
      <c r="J14">
        <f>I14+исходные!J14</f>
        <v>41.599999999999994</v>
      </c>
      <c r="K14">
        <f>J14+исходные!K14</f>
        <v>41.599999999999994</v>
      </c>
      <c r="L14">
        <f>K14+исходные!L14</f>
        <v>41.649999999999991</v>
      </c>
      <c r="M14">
        <f>L14+исходные!M14</f>
        <v>41.79999999999999</v>
      </c>
      <c r="N14">
        <f>M14+исходные!N14</f>
        <v>41.899999999999991</v>
      </c>
      <c r="O14">
        <f>N14+исходные!O14</f>
        <v>41.899999999999991</v>
      </c>
      <c r="P14">
        <f>O14+исходные!P14</f>
        <v>44.699999999999989</v>
      </c>
      <c r="Q14">
        <f>P14+исходные!Q14</f>
        <v>46.29999999999999</v>
      </c>
      <c r="R14">
        <f>Q14+исходные!R14</f>
        <v>51.899999999999991</v>
      </c>
      <c r="S14">
        <f>R14+исходные!S14</f>
        <v>51.949999999999989</v>
      </c>
      <c r="T14">
        <f>S14+исходные!T14</f>
        <v>53.649999999999991</v>
      </c>
    </row>
    <row r="15" spans="1:20" x14ac:dyDescent="0.25">
      <c r="A15" t="s">
        <v>33</v>
      </c>
      <c r="B15">
        <f>исходные!B15</f>
        <v>0.45</v>
      </c>
      <c r="C15">
        <f>B15+исходные!C15</f>
        <v>1.75</v>
      </c>
      <c r="D15">
        <f>C15+исходные!D15</f>
        <v>2.0499999999999998</v>
      </c>
      <c r="E15">
        <f>D15+исходные!E15</f>
        <v>2.1999999999999997</v>
      </c>
      <c r="F15">
        <f>E15+исходные!F15</f>
        <v>3.0999999999999996</v>
      </c>
      <c r="G15">
        <f>F15+исходные!G15</f>
        <v>4.0999999999999996</v>
      </c>
      <c r="H15">
        <f>G15+исходные!H15</f>
        <v>4.3999999999999995</v>
      </c>
      <c r="I15">
        <f>H15+исходные!I15</f>
        <v>5.3</v>
      </c>
      <c r="J15">
        <f>I15+исходные!J15</f>
        <v>7.6</v>
      </c>
      <c r="K15">
        <f>J15+исходные!K15</f>
        <v>7.8</v>
      </c>
      <c r="L15">
        <f>K15+исходные!L15</f>
        <v>8.1</v>
      </c>
      <c r="M15">
        <f>L15+исходные!M15</f>
        <v>8.4</v>
      </c>
      <c r="N15">
        <f>M15+исходные!N15</f>
        <v>8.5</v>
      </c>
      <c r="O15">
        <f>N15+исходные!O15</f>
        <v>8.5299999999999994</v>
      </c>
      <c r="P15">
        <f>O15+исходные!P15</f>
        <v>10.229999999999999</v>
      </c>
      <c r="Q15">
        <f>P15+исходные!Q15</f>
        <v>10.429999999999998</v>
      </c>
      <c r="R15">
        <f>Q15+исходные!R15</f>
        <v>11.929999999999998</v>
      </c>
      <c r="S15">
        <f>R15+исходные!S15</f>
        <v>12.629999999999997</v>
      </c>
      <c r="T15">
        <f>S15+исходные!T15</f>
        <v>13.629999999999997</v>
      </c>
    </row>
    <row r="16" spans="1:20" x14ac:dyDescent="0.25">
      <c r="A16" t="s">
        <v>34</v>
      </c>
      <c r="B16">
        <f>исходные!B16</f>
        <v>0.4</v>
      </c>
      <c r="C16">
        <f>B16+исходные!C16</f>
        <v>0.8</v>
      </c>
      <c r="D16">
        <f>C16+исходные!D16</f>
        <v>1.4</v>
      </c>
      <c r="E16">
        <f>D16+исходные!E16</f>
        <v>1.5999999999999999</v>
      </c>
      <c r="F16">
        <f>E16+исходные!F16</f>
        <v>2.9</v>
      </c>
      <c r="G16">
        <f>F16+исходные!G16</f>
        <v>2.9</v>
      </c>
      <c r="H16">
        <f>G16+исходные!H16</f>
        <v>3.1</v>
      </c>
      <c r="I16">
        <f>H16+исходные!I16</f>
        <v>3.3000000000000003</v>
      </c>
      <c r="J16">
        <f>I16+исходные!J16</f>
        <v>3.33</v>
      </c>
      <c r="K16">
        <f>J16+исходные!K16</f>
        <v>3.33</v>
      </c>
      <c r="L16">
        <f>K16+исходные!L16</f>
        <v>3.33</v>
      </c>
      <c r="M16">
        <f>L16+исходные!M16</f>
        <v>3.33</v>
      </c>
      <c r="N16">
        <f>M16+исходные!N16</f>
        <v>3.33</v>
      </c>
      <c r="O16">
        <f>N16+исходные!O16</f>
        <v>3.33</v>
      </c>
      <c r="P16">
        <f>O16+исходные!P16</f>
        <v>3.43</v>
      </c>
      <c r="Q16">
        <f>P16+исходные!Q16</f>
        <v>3.6300000000000003</v>
      </c>
      <c r="R16">
        <f>Q16+исходные!R16</f>
        <v>3.6300000000000003</v>
      </c>
      <c r="S16">
        <f>R16+исходные!S16</f>
        <v>3.6300000000000003</v>
      </c>
      <c r="T16">
        <f>S16+исходные!T16</f>
        <v>4.53</v>
      </c>
    </row>
    <row r="17" spans="1:20" x14ac:dyDescent="0.25">
      <c r="A17" t="s">
        <v>35</v>
      </c>
      <c r="B17">
        <f>исходные!B17</f>
        <v>0</v>
      </c>
      <c r="C17">
        <f>B17+исходные!C17</f>
        <v>0</v>
      </c>
      <c r="D17">
        <f>C17+исходные!D17</f>
        <v>0</v>
      </c>
      <c r="E17">
        <f>D17+исходные!E17</f>
        <v>0</v>
      </c>
      <c r="F17">
        <f>E17+исходные!F17</f>
        <v>0.3</v>
      </c>
      <c r="G17">
        <f>F17+исходные!G17</f>
        <v>0.3</v>
      </c>
      <c r="H17">
        <f>G17+исходные!H17</f>
        <v>0.3</v>
      </c>
      <c r="I17">
        <f>H17+исходные!I17</f>
        <v>0.3</v>
      </c>
      <c r="J17">
        <f>I17+исходные!J17</f>
        <v>0.3</v>
      </c>
      <c r="K17">
        <f>J17+исходные!K17</f>
        <v>0.3</v>
      </c>
      <c r="L17">
        <f>K17+исходные!L17</f>
        <v>0.3</v>
      </c>
      <c r="M17">
        <f>L17+исходные!M17</f>
        <v>0.3</v>
      </c>
      <c r="N17">
        <f>M17+исходные!N17</f>
        <v>0.3</v>
      </c>
      <c r="O17">
        <f>N17+исходные!O17</f>
        <v>0.3</v>
      </c>
      <c r="P17">
        <f>O17+исходные!P17</f>
        <v>0.8</v>
      </c>
      <c r="Q17">
        <f>P17+исходные!Q17</f>
        <v>0.8</v>
      </c>
      <c r="R17">
        <f>Q17+исходные!R17</f>
        <v>1.4500000000000002</v>
      </c>
      <c r="S17">
        <f>R17+исходные!S17</f>
        <v>1.4500000000000002</v>
      </c>
      <c r="T17">
        <f>S17+исходные!T17</f>
        <v>1.4500000000000002</v>
      </c>
    </row>
    <row r="18" spans="1:20" x14ac:dyDescent="0.25">
      <c r="A18" t="s">
        <v>36</v>
      </c>
      <c r="B18">
        <f>исходные!B18</f>
        <v>0</v>
      </c>
      <c r="C18">
        <f>B18+исходные!C18</f>
        <v>0</v>
      </c>
      <c r="D18">
        <f>C18+исходные!D18</f>
        <v>0.1</v>
      </c>
      <c r="E18">
        <f>D18+исходные!E18</f>
        <v>0.25</v>
      </c>
      <c r="F18">
        <f>E18+исходные!F18</f>
        <v>0.28000000000000003</v>
      </c>
      <c r="G18">
        <f>F18+исходные!G18</f>
        <v>0.28000000000000003</v>
      </c>
      <c r="H18">
        <f>G18+исходные!H18</f>
        <v>0.38</v>
      </c>
      <c r="I18">
        <f>H18+исходные!I18</f>
        <v>0.38</v>
      </c>
      <c r="J18">
        <f>I18+исходные!J18</f>
        <v>0.67999999999999994</v>
      </c>
      <c r="K18">
        <f>J18+исходные!K18</f>
        <v>0.67999999999999994</v>
      </c>
      <c r="L18">
        <f>K18+исходные!L18</f>
        <v>0.67999999999999994</v>
      </c>
      <c r="M18">
        <f>L18+исходные!M18</f>
        <v>1.08</v>
      </c>
      <c r="N18">
        <f>M18+исходные!N18</f>
        <v>1.28</v>
      </c>
      <c r="O18">
        <f>N18+исходные!O18</f>
        <v>1.28</v>
      </c>
      <c r="P18">
        <f>O18+исходные!P18</f>
        <v>1.28</v>
      </c>
      <c r="Q18">
        <f>P18+исходные!Q18</f>
        <v>1.28</v>
      </c>
      <c r="R18">
        <f>Q18+исходные!R18</f>
        <v>1.28</v>
      </c>
      <c r="S18">
        <f>R18+исходные!S18</f>
        <v>1.28</v>
      </c>
      <c r="T18">
        <f>S18+исходные!T18</f>
        <v>1.33</v>
      </c>
    </row>
    <row r="19" spans="1:20" x14ac:dyDescent="0.25">
      <c r="A19" t="s">
        <v>37</v>
      </c>
      <c r="B19">
        <f>исходные!B19</f>
        <v>0.05</v>
      </c>
      <c r="C19">
        <f>B19+исходные!C19</f>
        <v>0.05</v>
      </c>
      <c r="D19">
        <f>C19+исходные!D19</f>
        <v>0.35</v>
      </c>
      <c r="E19">
        <f>D19+исходные!E19</f>
        <v>0.39999999999999997</v>
      </c>
      <c r="F19">
        <f>E19+исходные!F19</f>
        <v>2.9</v>
      </c>
      <c r="G19">
        <f>F19+исходные!G19</f>
        <v>4.4000000000000004</v>
      </c>
      <c r="H19">
        <f>G19+исходные!H19</f>
        <v>4.8500000000000005</v>
      </c>
      <c r="I19">
        <f>H19+исходные!I19</f>
        <v>5.2500000000000009</v>
      </c>
      <c r="J19">
        <f>I19+исходные!J19</f>
        <v>7.9500000000000011</v>
      </c>
      <c r="K19">
        <f>J19+исходные!K19</f>
        <v>25.25</v>
      </c>
      <c r="L19">
        <f>K19+исходные!L19</f>
        <v>36.450000000000003</v>
      </c>
      <c r="M19">
        <f>L19+исходные!M19</f>
        <v>48.050000000000004</v>
      </c>
      <c r="N19">
        <f>M19+исходные!N19</f>
        <v>53.050000000000004</v>
      </c>
      <c r="O19">
        <f>N19+исходные!O19</f>
        <v>76.650000000000006</v>
      </c>
      <c r="P19">
        <f>O19+исходные!P19</f>
        <v>79.650000000000006</v>
      </c>
      <c r="Q19">
        <f>P19+исходные!Q19</f>
        <v>80.350000000000009</v>
      </c>
      <c r="R19">
        <f>Q19+исходные!R19</f>
        <v>80.350000000000009</v>
      </c>
      <c r="S19">
        <f>R19+исходные!S19</f>
        <v>80.750000000000014</v>
      </c>
      <c r="T19">
        <f>S19+исходные!T19</f>
        <v>80.850000000000009</v>
      </c>
    </row>
    <row r="20" spans="1:20" x14ac:dyDescent="0.25">
      <c r="A20" t="s">
        <v>38</v>
      </c>
      <c r="B20">
        <f>исходные!B20</f>
        <v>0.03</v>
      </c>
      <c r="C20">
        <f>B20+исходные!C20</f>
        <v>0.03</v>
      </c>
      <c r="D20">
        <f>C20+исходные!D20</f>
        <v>0.08</v>
      </c>
      <c r="E20">
        <f>D20+исходные!E20</f>
        <v>0.08</v>
      </c>
      <c r="F20">
        <f>E20+исходные!F20</f>
        <v>0.13</v>
      </c>
      <c r="G20">
        <f>F20+исходные!G20</f>
        <v>0.93</v>
      </c>
      <c r="H20">
        <f>G20+исходные!H20</f>
        <v>0.93</v>
      </c>
      <c r="I20">
        <f>H20+исходные!I20</f>
        <v>1.23</v>
      </c>
      <c r="J20">
        <f>I20+исходные!J20</f>
        <v>1.23</v>
      </c>
      <c r="K20">
        <f>J20+исходные!K20</f>
        <v>1.23</v>
      </c>
      <c r="L20">
        <f>K20+исходные!L20</f>
        <v>1.23</v>
      </c>
      <c r="M20">
        <f>L20+исходные!M20</f>
        <v>1.38</v>
      </c>
      <c r="N20">
        <f>M20+исходные!N20</f>
        <v>1.38</v>
      </c>
      <c r="O20">
        <f>N20+исходные!O20</f>
        <v>1.48</v>
      </c>
      <c r="P20">
        <f>O20+исходные!P20</f>
        <v>1.53</v>
      </c>
      <c r="Q20">
        <f>P20+исходные!Q20</f>
        <v>1.6300000000000001</v>
      </c>
      <c r="R20">
        <f>Q20+исходные!R20</f>
        <v>1.6300000000000001</v>
      </c>
      <c r="S20">
        <f>R20+исходные!S20</f>
        <v>1.6300000000000001</v>
      </c>
      <c r="T20">
        <f>S20+исходные!T20</f>
        <v>1.6300000000000001</v>
      </c>
    </row>
    <row r="21" spans="1:20" x14ac:dyDescent="0.25">
      <c r="A21" t="s">
        <v>39</v>
      </c>
      <c r="B21">
        <f>исходные!B21</f>
        <v>0.3</v>
      </c>
      <c r="C21">
        <f>B21+исходные!C21</f>
        <v>0.8</v>
      </c>
      <c r="D21">
        <f>C21+исходные!D21</f>
        <v>3</v>
      </c>
      <c r="E21">
        <f>D21+исходные!E21</f>
        <v>3.6</v>
      </c>
      <c r="F21">
        <f>E21+исходные!F21</f>
        <v>4.9000000000000004</v>
      </c>
      <c r="G21">
        <f>F21+исходные!G21</f>
        <v>5.6000000000000005</v>
      </c>
      <c r="H21">
        <f>G21+исходные!H21</f>
        <v>5.95</v>
      </c>
      <c r="I21">
        <f>H21+исходные!I21</f>
        <v>5.98</v>
      </c>
      <c r="J21">
        <f>I21+исходные!J21</f>
        <v>6.8800000000000008</v>
      </c>
      <c r="K21">
        <f>J21+исходные!K21</f>
        <v>6.98</v>
      </c>
      <c r="L21">
        <f>K21+исходные!L21</f>
        <v>7.03</v>
      </c>
      <c r="M21">
        <f>L21+исходные!M21</f>
        <v>7.03</v>
      </c>
      <c r="N21">
        <f>M21+исходные!N21</f>
        <v>7.03</v>
      </c>
      <c r="O21">
        <f>N21+исходные!O21</f>
        <v>7.53</v>
      </c>
      <c r="P21">
        <f>O21+исходные!P21</f>
        <v>8.23</v>
      </c>
      <c r="Q21">
        <f>P21+исходные!Q21</f>
        <v>9.0300000000000011</v>
      </c>
      <c r="R21">
        <f>Q21+исходные!R21</f>
        <v>10.030000000000001</v>
      </c>
      <c r="S21">
        <f>R21+исходные!S21</f>
        <v>10.430000000000001</v>
      </c>
      <c r="T21">
        <f>S21+исходные!T21</f>
        <v>11.63</v>
      </c>
    </row>
    <row r="22" spans="1:20" x14ac:dyDescent="0.25">
      <c r="A22" t="s">
        <v>40</v>
      </c>
      <c r="B22">
        <f>исходные!B22</f>
        <v>0</v>
      </c>
      <c r="C22">
        <f>B22+исходные!C22</f>
        <v>0</v>
      </c>
      <c r="D22">
        <f>C22+исходные!D22</f>
        <v>0</v>
      </c>
      <c r="E22">
        <f>D22+исходные!E22</f>
        <v>0</v>
      </c>
      <c r="F22">
        <f>E22+исходные!F22</f>
        <v>0.02</v>
      </c>
      <c r="G22">
        <f>F22+исходные!G22</f>
        <v>7.0000000000000007E-2</v>
      </c>
      <c r="H22">
        <f>G22+исходные!H22</f>
        <v>0.27</v>
      </c>
      <c r="I22">
        <f>H22+исходные!I22</f>
        <v>0.27</v>
      </c>
      <c r="J22">
        <f>I22+исходные!J22</f>
        <v>0.87</v>
      </c>
      <c r="K22">
        <f>J22+исходные!K22</f>
        <v>0.87</v>
      </c>
      <c r="L22">
        <f>K22+исходные!L22</f>
        <v>0.87</v>
      </c>
      <c r="M22">
        <f>L22+исходные!M22</f>
        <v>0.87</v>
      </c>
      <c r="N22">
        <f>M22+исходные!N22</f>
        <v>0.87</v>
      </c>
      <c r="O22">
        <f>N22+исходные!O22</f>
        <v>0.87</v>
      </c>
      <c r="P22">
        <f>O22+исходные!P22</f>
        <v>0.87</v>
      </c>
      <c r="Q22">
        <f>P22+исходные!Q22</f>
        <v>0.87</v>
      </c>
      <c r="R22">
        <f>Q22+исходные!R22</f>
        <v>0.87</v>
      </c>
      <c r="S22">
        <f>R22+исходные!S22</f>
        <v>0.87</v>
      </c>
      <c r="T22">
        <f>S22+исходные!T22</f>
        <v>0.87</v>
      </c>
    </row>
    <row r="23" spans="1:20" x14ac:dyDescent="0.25">
      <c r="A23" t="s">
        <v>41</v>
      </c>
      <c r="B23">
        <f>исходные!B23</f>
        <v>0</v>
      </c>
      <c r="C23">
        <f>B23+исходные!C23</f>
        <v>0.4</v>
      </c>
      <c r="D23">
        <f>C23+исходные!D23</f>
        <v>0.60000000000000009</v>
      </c>
      <c r="E23">
        <f>D23+исходные!E23</f>
        <v>1.2000000000000002</v>
      </c>
      <c r="F23">
        <f>E23+исходные!F23</f>
        <v>1.2000000000000002</v>
      </c>
      <c r="G23">
        <f>F23+исходные!G23</f>
        <v>1.3000000000000003</v>
      </c>
      <c r="H23">
        <f>G23+исходные!H23</f>
        <v>1.5000000000000002</v>
      </c>
      <c r="I23">
        <f>H23+исходные!I23</f>
        <v>1.6000000000000003</v>
      </c>
      <c r="J23">
        <f>I23+исходные!J23</f>
        <v>1.6300000000000003</v>
      </c>
      <c r="K23">
        <f>J23+исходные!K23</f>
        <v>1.6300000000000003</v>
      </c>
      <c r="L23">
        <f>K23+исходные!L23</f>
        <v>1.6300000000000003</v>
      </c>
      <c r="M23">
        <f>L23+исходные!M23</f>
        <v>1.6300000000000003</v>
      </c>
      <c r="N23">
        <f>M23+исходные!N23</f>
        <v>1.6300000000000003</v>
      </c>
      <c r="O23">
        <f>N23+исходные!O23</f>
        <v>1.6300000000000003</v>
      </c>
      <c r="P23">
        <f>O23+исходные!P23</f>
        <v>1.6300000000000003</v>
      </c>
      <c r="Q23">
        <f>P23+исходные!Q23</f>
        <v>1.6300000000000003</v>
      </c>
      <c r="R23">
        <f>Q23+исходные!R23</f>
        <v>1.6300000000000003</v>
      </c>
      <c r="S23">
        <f>R23+исходные!S23</f>
        <v>1.6300000000000003</v>
      </c>
      <c r="T23">
        <f>S23+исходные!T23</f>
        <v>1.9300000000000004</v>
      </c>
    </row>
    <row r="24" spans="1:20" x14ac:dyDescent="0.25">
      <c r="A24" t="s">
        <v>42</v>
      </c>
      <c r="B24">
        <f>исходные!B24</f>
        <v>0</v>
      </c>
      <c r="C24">
        <f>B24+исходные!C24</f>
        <v>0</v>
      </c>
      <c r="D24">
        <f>C24+исходные!D24</f>
        <v>0</v>
      </c>
      <c r="E24">
        <f>D24+исходные!E24</f>
        <v>0</v>
      </c>
      <c r="F24">
        <f>E24+исходные!F24</f>
        <v>4.2</v>
      </c>
      <c r="G24">
        <f>F24+исходные!G24</f>
        <v>9.4</v>
      </c>
      <c r="H24">
        <f>G24+исходные!H24</f>
        <v>9.4</v>
      </c>
      <c r="I24">
        <f>H24+исходные!I24</f>
        <v>15.7</v>
      </c>
      <c r="J24">
        <f>I24+исходные!J24</f>
        <v>16.599999999999998</v>
      </c>
      <c r="K24">
        <f>J24+исходные!K24</f>
        <v>16.599999999999998</v>
      </c>
      <c r="L24">
        <f>K24+исходные!L24</f>
        <v>16.599999999999998</v>
      </c>
      <c r="M24">
        <f>L24+исходные!M24</f>
        <v>16.599999999999998</v>
      </c>
      <c r="N24">
        <f>M24+исходные!N24</f>
        <v>16.599999999999998</v>
      </c>
      <c r="O24">
        <f>N24+исходные!O24</f>
        <v>16.599999999999998</v>
      </c>
      <c r="P24">
        <f>O24+исходные!P24</f>
        <v>16.599999999999998</v>
      </c>
      <c r="Q24">
        <f>P24+исходные!Q24</f>
        <v>16.599999999999998</v>
      </c>
      <c r="R24">
        <f>Q24+исходные!R24</f>
        <v>16.899999999999999</v>
      </c>
      <c r="S24">
        <f>R24+исходные!S24</f>
        <v>16.899999999999999</v>
      </c>
      <c r="T24">
        <f>S24+исходные!T24</f>
        <v>16.899999999999999</v>
      </c>
    </row>
    <row r="25" spans="1:20" x14ac:dyDescent="0.25">
      <c r="A25" t="s">
        <v>43</v>
      </c>
      <c r="B25">
        <f>исходные!B25</f>
        <v>0.05</v>
      </c>
      <c r="C25">
        <f>B25+исходные!C25</f>
        <v>0.55000000000000004</v>
      </c>
      <c r="D25">
        <f>C25+исходные!D25</f>
        <v>1.05</v>
      </c>
      <c r="E25">
        <f>D25+исходные!E25</f>
        <v>1.1500000000000001</v>
      </c>
      <c r="F25">
        <f>E25+исходные!F25</f>
        <v>1.2000000000000002</v>
      </c>
      <c r="G25">
        <f>F25+исходные!G25</f>
        <v>1.3000000000000003</v>
      </c>
      <c r="H25">
        <f>G25+исходные!H25</f>
        <v>1.3000000000000003</v>
      </c>
      <c r="I25">
        <f>H25+исходные!I25</f>
        <v>1.3000000000000003</v>
      </c>
      <c r="J25">
        <f>I25+исходные!J25</f>
        <v>1.5000000000000002</v>
      </c>
      <c r="K25">
        <f>J25+исходные!K25</f>
        <v>1.5000000000000002</v>
      </c>
      <c r="L25">
        <f>K25+исходные!L25</f>
        <v>1.5000000000000002</v>
      </c>
      <c r="M25">
        <f>L25+исходные!M25</f>
        <v>1.5000000000000002</v>
      </c>
      <c r="N25">
        <f>M25+исходные!N25</f>
        <v>1.5000000000000002</v>
      </c>
      <c r="O25">
        <f>N25+исходные!O25</f>
        <v>1.5000000000000002</v>
      </c>
      <c r="P25">
        <f>O25+исходные!P25</f>
        <v>1.5000000000000002</v>
      </c>
      <c r="Q25">
        <f>P25+исходные!Q25</f>
        <v>1.5000000000000002</v>
      </c>
      <c r="R25">
        <f>Q25+исходные!R25</f>
        <v>1.5000000000000002</v>
      </c>
      <c r="S25">
        <f>R25+исходные!S25</f>
        <v>1.5000000000000002</v>
      </c>
      <c r="T25">
        <f>S25+исходные!T25</f>
        <v>1.5000000000000002</v>
      </c>
    </row>
    <row r="26" spans="1:20" x14ac:dyDescent="0.25">
      <c r="A26" t="s">
        <v>44</v>
      </c>
      <c r="B26">
        <f>исходные!B26</f>
        <v>2.5</v>
      </c>
      <c r="C26">
        <f>B26+исходные!C26</f>
        <v>3.7</v>
      </c>
      <c r="D26">
        <f>C26+исходные!D26</f>
        <v>4.9000000000000004</v>
      </c>
      <c r="E26">
        <f>D26+исходные!E26</f>
        <v>6.3000000000000007</v>
      </c>
      <c r="F26">
        <f>E26+исходные!F26</f>
        <v>12.3</v>
      </c>
      <c r="G26">
        <f>F26+исходные!G26</f>
        <v>18.200000000000003</v>
      </c>
      <c r="H26">
        <f>G26+исходные!H26</f>
        <v>19.300000000000004</v>
      </c>
      <c r="I26">
        <f>H26+исходные!I26</f>
        <v>19.750000000000004</v>
      </c>
      <c r="J26">
        <f>I26+исходные!J26</f>
        <v>24.250000000000004</v>
      </c>
      <c r="K26">
        <f>J26+исходные!K26</f>
        <v>27.050000000000004</v>
      </c>
      <c r="L26">
        <f>K26+исходные!L26</f>
        <v>27.050000000000004</v>
      </c>
      <c r="M26">
        <f>L26+исходные!M26</f>
        <v>27.050000000000004</v>
      </c>
      <c r="N26">
        <f>M26+исходные!N26</f>
        <v>38.650000000000006</v>
      </c>
      <c r="O26">
        <f>N26+исходные!O26</f>
        <v>44.350000000000009</v>
      </c>
      <c r="P26">
        <f>O26+исходные!P26</f>
        <v>63.350000000000009</v>
      </c>
      <c r="Q26">
        <f>P26+исходные!Q26</f>
        <v>90.850000000000009</v>
      </c>
      <c r="R26">
        <f>Q26+исходные!R26</f>
        <v>129.45000000000002</v>
      </c>
      <c r="S26">
        <f>R26+исходные!S26</f>
        <v>139.30000000000001</v>
      </c>
      <c r="T26">
        <f>S26+исходные!T26</f>
        <v>146.4</v>
      </c>
    </row>
    <row r="27" spans="1:20" x14ac:dyDescent="0.25">
      <c r="A27" t="s">
        <v>45</v>
      </c>
      <c r="B27">
        <f>исходные!B27</f>
        <v>0</v>
      </c>
      <c r="C27">
        <f>B27+исходные!C27</f>
        <v>0</v>
      </c>
      <c r="D27">
        <f>C27+исходные!D27</f>
        <v>0</v>
      </c>
      <c r="E27">
        <f>D27+исходные!E27</f>
        <v>0</v>
      </c>
      <c r="F27">
        <f>E27+исходные!F27</f>
        <v>0.5</v>
      </c>
      <c r="G27">
        <f>F27+исходные!G27</f>
        <v>1.1499999999999999</v>
      </c>
      <c r="H27">
        <f>G27+исходные!H27</f>
        <v>2.4500000000000002</v>
      </c>
      <c r="I27">
        <f>H27+исходные!I27</f>
        <v>2.4500000000000002</v>
      </c>
      <c r="J27">
        <f>I27+исходные!J27</f>
        <v>2.95</v>
      </c>
      <c r="K27">
        <f>J27+исходные!K27</f>
        <v>2.95</v>
      </c>
      <c r="L27">
        <f>K27+исходные!L27</f>
        <v>3.25</v>
      </c>
      <c r="M27">
        <f>L27+исходные!M27</f>
        <v>7.15</v>
      </c>
      <c r="N27">
        <f>M27+исходные!N27</f>
        <v>9.65</v>
      </c>
      <c r="O27">
        <f>N27+исходные!O27</f>
        <v>10.450000000000001</v>
      </c>
      <c r="P27">
        <f>O27+исходные!P27</f>
        <v>10.450000000000001</v>
      </c>
      <c r="Q27">
        <f>P27+исходные!Q27</f>
        <v>10.450000000000001</v>
      </c>
      <c r="R27">
        <f>Q27+исходные!R27</f>
        <v>11.250000000000002</v>
      </c>
      <c r="S27">
        <f>R27+исходные!S27</f>
        <v>11.650000000000002</v>
      </c>
      <c r="T27">
        <f>S27+исходные!T27</f>
        <v>12.750000000000002</v>
      </c>
    </row>
    <row r="28" spans="1:20" x14ac:dyDescent="0.25">
      <c r="A28" t="s">
        <v>46</v>
      </c>
      <c r="B28">
        <f>исходные!B28</f>
        <v>0</v>
      </c>
      <c r="C28">
        <f>B28+исходные!C28</f>
        <v>0</v>
      </c>
      <c r="D28">
        <f>C28+исходные!D28</f>
        <v>0</v>
      </c>
      <c r="E28">
        <f>D28+исходные!E28</f>
        <v>0</v>
      </c>
      <c r="F28">
        <f>E28+исходные!F28</f>
        <v>0</v>
      </c>
      <c r="G28">
        <f>F28+исходные!G28</f>
        <v>0.05</v>
      </c>
      <c r="H28">
        <f>G28+исходные!H28</f>
        <v>0.15000000000000002</v>
      </c>
      <c r="I28">
        <f>H28+исходные!I28</f>
        <v>0.15000000000000002</v>
      </c>
      <c r="J28">
        <f>I28+исходные!J28</f>
        <v>0.15000000000000002</v>
      </c>
      <c r="K28">
        <f>J28+исходные!K28</f>
        <v>0.15000000000000002</v>
      </c>
      <c r="L28">
        <f>K28+исходные!L28</f>
        <v>0.15000000000000002</v>
      </c>
      <c r="M28">
        <f>L28+исходные!M28</f>
        <v>0.15000000000000002</v>
      </c>
      <c r="N28">
        <f>M28+исходные!N28</f>
        <v>0.15000000000000002</v>
      </c>
      <c r="O28">
        <f>N28+исходные!O28</f>
        <v>0.15000000000000002</v>
      </c>
      <c r="P28">
        <f>O28+исходные!P28</f>
        <v>0.15000000000000002</v>
      </c>
      <c r="Q28">
        <f>P28+исходные!Q28</f>
        <v>0.15000000000000002</v>
      </c>
      <c r="R28">
        <f>Q28+исходные!R28</f>
        <v>0.15000000000000002</v>
      </c>
      <c r="S28">
        <f>R28+исходные!S28</f>
        <v>0.15000000000000002</v>
      </c>
      <c r="T28">
        <f>S28+исходные!T28</f>
        <v>0.15000000000000002</v>
      </c>
    </row>
    <row r="29" spans="1:20" x14ac:dyDescent="0.25">
      <c r="A29" t="s">
        <v>47</v>
      </c>
      <c r="B29">
        <f>исходные!B29</f>
        <v>0</v>
      </c>
      <c r="C29">
        <f>B29+исходные!C29</f>
        <v>0</v>
      </c>
      <c r="D29">
        <f>C29+исходные!D29</f>
        <v>0</v>
      </c>
      <c r="E29">
        <f>D29+исходные!E29</f>
        <v>0</v>
      </c>
      <c r="F29">
        <f>E29+исходные!F29</f>
        <v>0.02</v>
      </c>
      <c r="G29">
        <f>F29+исходные!G29</f>
        <v>7.0000000000000007E-2</v>
      </c>
      <c r="H29">
        <f>G29+исходные!H29</f>
        <v>7.0000000000000007E-2</v>
      </c>
      <c r="I29">
        <f>H29+исходные!I29</f>
        <v>0.47000000000000003</v>
      </c>
      <c r="J29">
        <f>I29+исходные!J29</f>
        <v>0.47000000000000003</v>
      </c>
      <c r="K29">
        <f>J29+исходные!K29</f>
        <v>0.47000000000000003</v>
      </c>
      <c r="L29">
        <f>K29+исходные!L29</f>
        <v>0.47000000000000003</v>
      </c>
      <c r="M29">
        <f>L29+исходные!M29</f>
        <v>0.47000000000000003</v>
      </c>
      <c r="N29">
        <f>M29+исходные!N29</f>
        <v>0.47000000000000003</v>
      </c>
      <c r="O29">
        <f>N29+исходные!O29</f>
        <v>0.47000000000000003</v>
      </c>
      <c r="P29">
        <f>O29+исходные!P29</f>
        <v>0.47000000000000003</v>
      </c>
      <c r="Q29">
        <f>P29+исходные!Q29</f>
        <v>0.47000000000000003</v>
      </c>
      <c r="R29">
        <f>Q29+исходные!R29</f>
        <v>0.47000000000000003</v>
      </c>
      <c r="S29">
        <f>R29+исходные!S29</f>
        <v>0.47000000000000003</v>
      </c>
      <c r="T29">
        <f>S29+исходные!T29</f>
        <v>0.47000000000000003</v>
      </c>
    </row>
    <row r="30" spans="1:20" x14ac:dyDescent="0.25">
      <c r="A30" t="s">
        <v>48</v>
      </c>
      <c r="B30">
        <f>исходные!B30</f>
        <v>0</v>
      </c>
      <c r="C30">
        <f>B30+исходные!C30</f>
        <v>0.3</v>
      </c>
      <c r="D30">
        <f>C30+исходные!D30</f>
        <v>0.3</v>
      </c>
      <c r="E30">
        <f>D30+исходные!E30</f>
        <v>1</v>
      </c>
      <c r="F30">
        <f>E30+исходные!F30</f>
        <v>1</v>
      </c>
      <c r="G30">
        <f>F30+исходные!G30</f>
        <v>1</v>
      </c>
      <c r="H30">
        <f>G30+исходные!H30</f>
        <v>1</v>
      </c>
      <c r="I30">
        <f>H30+исходные!I30</f>
        <v>1</v>
      </c>
      <c r="J30">
        <f>I30+исходные!J30</f>
        <v>1</v>
      </c>
      <c r="K30">
        <f>J30+исходные!K30</f>
        <v>1</v>
      </c>
      <c r="L30">
        <f>K30+исходные!L30</f>
        <v>1</v>
      </c>
      <c r="M30">
        <f>L30+исходные!M30</f>
        <v>1</v>
      </c>
      <c r="N30">
        <f>M30+исходные!N30</f>
        <v>1</v>
      </c>
      <c r="O30">
        <f>N30+исходные!O30</f>
        <v>1</v>
      </c>
      <c r="P30">
        <f>O30+исходные!P30</f>
        <v>1</v>
      </c>
      <c r="Q30">
        <f>P30+исходные!Q30</f>
        <v>1</v>
      </c>
      <c r="R30">
        <f>Q30+исходные!R30</f>
        <v>1</v>
      </c>
      <c r="S30">
        <f>R30+исходные!S30</f>
        <v>1</v>
      </c>
      <c r="T30">
        <f>S30+исходные!T30</f>
        <v>1</v>
      </c>
    </row>
    <row r="31" spans="1:20" x14ac:dyDescent="0.25">
      <c r="A31" t="s">
        <v>49</v>
      </c>
      <c r="B31">
        <f>исходные!B31</f>
        <v>0</v>
      </c>
      <c r="C31">
        <f>B31+исходные!C31</f>
        <v>0</v>
      </c>
      <c r="D31">
        <f>C31+исходные!D31</f>
        <v>0</v>
      </c>
      <c r="E31">
        <f>D31+исходные!E31</f>
        <v>0</v>
      </c>
      <c r="F31">
        <f>E31+исходные!F31</f>
        <v>0.2</v>
      </c>
      <c r="G31">
        <f>F31+исходные!G31</f>
        <v>0.7</v>
      </c>
      <c r="H31">
        <f>G31+исходные!H31</f>
        <v>0.79999999999999993</v>
      </c>
      <c r="I31">
        <f>H31+исходные!I31</f>
        <v>0.79999999999999993</v>
      </c>
      <c r="J31">
        <f>I31+исходные!J31</f>
        <v>0.79999999999999993</v>
      </c>
      <c r="K31">
        <f>J31+исходные!K31</f>
        <v>0.79999999999999993</v>
      </c>
      <c r="L31">
        <f>K31+исходные!L31</f>
        <v>0.79999999999999993</v>
      </c>
      <c r="M31">
        <f>L31+исходные!M31</f>
        <v>0.79999999999999993</v>
      </c>
      <c r="N31">
        <f>M31+исходные!N31</f>
        <v>0.79999999999999993</v>
      </c>
      <c r="O31">
        <f>N31+исходные!O31</f>
        <v>0.79999999999999993</v>
      </c>
      <c r="P31">
        <f>O31+исходные!P31</f>
        <v>0.79999999999999993</v>
      </c>
      <c r="Q31">
        <f>P31+исходные!Q31</f>
        <v>0.79999999999999993</v>
      </c>
      <c r="R31">
        <f>Q31+исходные!R31</f>
        <v>0.79999999999999993</v>
      </c>
      <c r="S31">
        <f>R31+исходные!S31</f>
        <v>0.79999999999999993</v>
      </c>
      <c r="T31">
        <f>S31+исходные!T31</f>
        <v>0.79999999999999993</v>
      </c>
    </row>
    <row r="32" spans="1:20" x14ac:dyDescent="0.25">
      <c r="A32" t="s">
        <v>50</v>
      </c>
      <c r="B32">
        <f>исходные!B32</f>
        <v>0</v>
      </c>
      <c r="C32">
        <f>B32+исходные!C32</f>
        <v>0</v>
      </c>
      <c r="D32">
        <f>C32+исходные!D32</f>
        <v>0</v>
      </c>
      <c r="E32">
        <f>D32+исходные!E32</f>
        <v>0</v>
      </c>
      <c r="F32">
        <f>E32+исходные!F32</f>
        <v>0</v>
      </c>
      <c r="G32">
        <f>F32+исходные!G32</f>
        <v>0</v>
      </c>
      <c r="H32">
        <f>G32+исходные!H32</f>
        <v>0</v>
      </c>
      <c r="I32">
        <f>H32+исходные!I32</f>
        <v>0</v>
      </c>
      <c r="J32">
        <f>I32+исходные!J32</f>
        <v>0</v>
      </c>
      <c r="K32">
        <f>J32+исходные!K32</f>
        <v>0</v>
      </c>
      <c r="L32">
        <f>K32+исходные!L32</f>
        <v>0</v>
      </c>
      <c r="M32">
        <f>L32+исходные!M32</f>
        <v>0</v>
      </c>
      <c r="N32">
        <f>M32+исходные!N32</f>
        <v>0</v>
      </c>
      <c r="O32">
        <f>N32+исходные!O32</f>
        <v>0</v>
      </c>
      <c r="P32">
        <f>O32+исходные!P32</f>
        <v>0.2</v>
      </c>
      <c r="Q32">
        <f>P32+исходные!Q32</f>
        <v>0.2</v>
      </c>
      <c r="R32">
        <f>Q32+исходные!R32</f>
        <v>0.2</v>
      </c>
      <c r="S32">
        <f>R32+исходные!S32</f>
        <v>0.2</v>
      </c>
      <c r="T32">
        <f>S32+исходные!T32</f>
        <v>0.2</v>
      </c>
    </row>
    <row r="33" spans="1:20" x14ac:dyDescent="0.25">
      <c r="A33" t="s">
        <v>51</v>
      </c>
      <c r="B33">
        <f>исходные!B33</f>
        <v>0</v>
      </c>
      <c r="C33">
        <f>B33+исходные!C33</f>
        <v>0</v>
      </c>
      <c r="D33">
        <f>C33+исходные!D33</f>
        <v>0</v>
      </c>
      <c r="E33">
        <f>D33+исходные!E33</f>
        <v>0</v>
      </c>
      <c r="F33">
        <f>E33+исходные!F33</f>
        <v>0</v>
      </c>
      <c r="G33">
        <f>F33+исходные!G33</f>
        <v>0</v>
      </c>
      <c r="H33">
        <f>G33+исходные!H33</f>
        <v>0</v>
      </c>
      <c r="I33">
        <f>H33+исходные!I33</f>
        <v>0</v>
      </c>
      <c r="J33">
        <f>I33+исходные!J33</f>
        <v>0</v>
      </c>
      <c r="K33">
        <f>J33+исходные!K33</f>
        <v>0</v>
      </c>
      <c r="L33">
        <f>K33+исходные!L33</f>
        <v>0</v>
      </c>
      <c r="M33">
        <f>L33+исходные!M33</f>
        <v>0</v>
      </c>
      <c r="N33">
        <f>M33+исходные!N33</f>
        <v>0</v>
      </c>
      <c r="O33">
        <f>N33+исходные!O33</f>
        <v>0</v>
      </c>
      <c r="P33">
        <f>O33+исходные!P33</f>
        <v>0.6</v>
      </c>
      <c r="Q33">
        <f>P33+исходные!Q33</f>
        <v>0.6</v>
      </c>
      <c r="R33">
        <f>Q33+исходные!R33</f>
        <v>0.6</v>
      </c>
      <c r="S33">
        <f>R33+исходные!S33</f>
        <v>0.6</v>
      </c>
      <c r="T33">
        <f>S33+исходные!T33</f>
        <v>0.6</v>
      </c>
    </row>
    <row r="34" spans="1:20" x14ac:dyDescent="0.25">
      <c r="A34" t="s">
        <v>52</v>
      </c>
      <c r="B34">
        <f>исходные!B34</f>
        <v>0</v>
      </c>
      <c r="C34">
        <f>B34+исходные!C34</f>
        <v>0</v>
      </c>
      <c r="D34">
        <f>C34+исходные!D34</f>
        <v>0</v>
      </c>
      <c r="E34">
        <f>D34+исходные!E34</f>
        <v>0</v>
      </c>
      <c r="F34">
        <f>E34+исходные!F34</f>
        <v>0</v>
      </c>
      <c r="G34">
        <f>F34+исходные!G34</f>
        <v>0</v>
      </c>
      <c r="H34">
        <f>G34+исходные!H34</f>
        <v>0</v>
      </c>
      <c r="I34">
        <f>H34+исходные!I34</f>
        <v>0</v>
      </c>
      <c r="J34">
        <f>I34+исходные!J34</f>
        <v>0</v>
      </c>
      <c r="K34">
        <f>J34+исходные!K34</f>
        <v>0</v>
      </c>
      <c r="L34">
        <f>K34+исходные!L34</f>
        <v>0</v>
      </c>
      <c r="M34">
        <f>L34+исходные!M34</f>
        <v>0</v>
      </c>
      <c r="N34">
        <f>M34+исходные!N34</f>
        <v>0</v>
      </c>
      <c r="O34">
        <f>N34+исходные!O34</f>
        <v>0</v>
      </c>
      <c r="P34">
        <f>O34+исходные!P34</f>
        <v>0</v>
      </c>
      <c r="Q34">
        <f>P34+исходные!Q34</f>
        <v>0</v>
      </c>
      <c r="R34">
        <f>Q34+исходные!R34</f>
        <v>0</v>
      </c>
      <c r="S34">
        <f>R34+исходные!S34</f>
        <v>3.55</v>
      </c>
      <c r="T34">
        <f>S34+исходные!T34</f>
        <v>3.55</v>
      </c>
    </row>
    <row r="37" spans="1:20" x14ac:dyDescent="0.25">
      <c r="A37" s="1" t="s">
        <v>62</v>
      </c>
      <c r="B37">
        <f>COUNTIF(B2:B34,"&gt;0")</f>
        <v>13</v>
      </c>
      <c r="C37">
        <f t="shared" ref="C37:T37" si="0">COUNTIF(C2:C34,"&gt;0")</f>
        <v>15</v>
      </c>
      <c r="D37">
        <f t="shared" si="0"/>
        <v>17</v>
      </c>
      <c r="E37">
        <f t="shared" si="0"/>
        <v>17</v>
      </c>
      <c r="F37">
        <f t="shared" si="0"/>
        <v>26</v>
      </c>
      <c r="G37">
        <f t="shared" si="0"/>
        <v>29</v>
      </c>
      <c r="H37">
        <f t="shared" si="0"/>
        <v>29</v>
      </c>
      <c r="I37">
        <f t="shared" si="0"/>
        <v>29</v>
      </c>
      <c r="J37">
        <f t="shared" si="0"/>
        <v>30</v>
      </c>
      <c r="K37">
        <f t="shared" si="0"/>
        <v>30</v>
      </c>
      <c r="L37">
        <f t="shared" si="0"/>
        <v>30</v>
      </c>
      <c r="M37">
        <f t="shared" si="0"/>
        <v>30</v>
      </c>
      <c r="N37">
        <f t="shared" si="0"/>
        <v>30</v>
      </c>
      <c r="O37">
        <f t="shared" si="0"/>
        <v>30</v>
      </c>
      <c r="P37">
        <f t="shared" si="0"/>
        <v>32</v>
      </c>
      <c r="Q37">
        <f t="shared" si="0"/>
        <v>32</v>
      </c>
      <c r="R37">
        <f t="shared" si="0"/>
        <v>32</v>
      </c>
      <c r="S37">
        <f t="shared" si="0"/>
        <v>33</v>
      </c>
      <c r="T37">
        <f t="shared" si="0"/>
        <v>33</v>
      </c>
    </row>
    <row r="38" spans="1:20" x14ac:dyDescent="0.25">
      <c r="A38" s="1" t="s">
        <v>63</v>
      </c>
      <c r="B38">
        <f>SUM(B2:B34)</f>
        <v>17.760000000000002</v>
      </c>
      <c r="C38">
        <f t="shared" ref="C38:T38" si="1">SUM(C2:C34)</f>
        <v>71.36</v>
      </c>
      <c r="D38">
        <f t="shared" si="1"/>
        <v>95.359999999999985</v>
      </c>
      <c r="E38">
        <f t="shared" si="1"/>
        <v>127.56</v>
      </c>
      <c r="F38">
        <f t="shared" si="1"/>
        <v>160.34</v>
      </c>
      <c r="G38">
        <f t="shared" si="1"/>
        <v>190.49000000000004</v>
      </c>
      <c r="H38">
        <f t="shared" si="1"/>
        <v>216.38000000000005</v>
      </c>
      <c r="I38">
        <f t="shared" si="1"/>
        <v>234.95000000000005</v>
      </c>
      <c r="J38">
        <f t="shared" si="1"/>
        <v>266.81</v>
      </c>
      <c r="K38">
        <f t="shared" si="1"/>
        <v>316.71000000000009</v>
      </c>
      <c r="L38">
        <f t="shared" si="1"/>
        <v>354.31000000000006</v>
      </c>
      <c r="M38">
        <f t="shared" si="1"/>
        <v>396.01</v>
      </c>
      <c r="N38">
        <f t="shared" si="1"/>
        <v>423.40999999999991</v>
      </c>
      <c r="O38">
        <f t="shared" si="1"/>
        <v>473.68999999999994</v>
      </c>
      <c r="P38">
        <f t="shared" si="1"/>
        <v>511.09000000000009</v>
      </c>
      <c r="Q38">
        <f t="shared" si="1"/>
        <v>552.29000000000019</v>
      </c>
      <c r="R38">
        <f t="shared" si="1"/>
        <v>615.15</v>
      </c>
      <c r="S38">
        <f t="shared" si="1"/>
        <v>637.39999999999986</v>
      </c>
      <c r="T38">
        <f t="shared" si="1"/>
        <v>659.56999999999982</v>
      </c>
    </row>
    <row r="39" spans="1:20" x14ac:dyDescent="0.25">
      <c r="A3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9"/>
  <sheetViews>
    <sheetView workbookViewId="0">
      <selection activeCell="X12" sqref="X12"/>
    </sheetView>
  </sheetViews>
  <sheetFormatPr defaultRowHeight="15" x14ac:dyDescent="0.25"/>
  <cols>
    <col min="1" max="1" width="25.5703125" bestFit="1" customWidth="1"/>
    <col min="2" max="2" width="12.7109375" bestFit="1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20</v>
      </c>
      <c r="B2">
        <f>(накопительные!B2/SUM(накопительные!B$2:B$34))^$B$39</f>
        <v>0.24774774774774774</v>
      </c>
      <c r="C2">
        <f>(накопительные!C2/SUM(накопительные!C$2:C$34))^$B$39</f>
        <v>7.1468609865470864E-2</v>
      </c>
      <c r="D2">
        <f>(накопительные!D2/SUM(накопительные!D$2:D$34))^$B$39</f>
        <v>7.1833053691275184E-2</v>
      </c>
      <c r="E2">
        <f>(накопительные!E2/SUM(накопительные!E$2:E$34))^$B$39</f>
        <v>5.3700219504546884E-2</v>
      </c>
      <c r="F2">
        <f>(накопительные!F2/SUM(накопительные!F$2:F$34))^$B$39</f>
        <v>4.2721716352750405E-2</v>
      </c>
      <c r="G2">
        <f>(накопительные!G2/SUM(накопительные!G$2:G$34))^$B$39</f>
        <v>3.5959892907764184E-2</v>
      </c>
      <c r="H2">
        <f>(накопительные!H2/SUM(накопительные!H$2:H$34))^$B$39</f>
        <v>3.1657269618264157E-2</v>
      </c>
      <c r="I2">
        <f>(накопительные!I2/SUM(накопительные!I$2:I$34))^$B$39</f>
        <v>2.9155139391359861E-2</v>
      </c>
      <c r="J2">
        <f>(накопительные!J2/SUM(накопительные!J$2:J$34))^$B$39</f>
        <v>2.5673700386042504E-2</v>
      </c>
      <c r="K2">
        <f>(накопительные!K2/SUM(накопительные!K$2:K$34))^$B$39</f>
        <v>2.1628619241577465E-2</v>
      </c>
      <c r="L2">
        <f>(накопительные!L2/SUM(накопительные!L$2:L$34))^$B$39</f>
        <v>1.9333352149247831E-2</v>
      </c>
      <c r="M2">
        <f>(накопительные!M2/SUM(накопительные!M$2:M$34))^$B$39</f>
        <v>1.7297542991338604E-2</v>
      </c>
      <c r="N2">
        <f>(накопительные!N2/SUM(накопительные!N$2:N$34))^$B$39</f>
        <v>1.6178172456956619E-2</v>
      </c>
      <c r="O2">
        <f>(накопительные!O2/SUM(накопительные!O$2:O$34))^$B$39</f>
        <v>1.4460934366357748E-2</v>
      </c>
      <c r="P2">
        <f>(накопительные!P2/SUM(накопительные!P$2:P$34))^$B$39</f>
        <v>1.3402727503962118E-2</v>
      </c>
      <c r="Q2">
        <f>(накопительные!Q2/SUM(накопительные!Q$2:Q$34))^$B$39</f>
        <v>1.2402904271306739E-2</v>
      </c>
      <c r="R2">
        <f>(накопительные!R2/SUM(накопительные!R$2:R$34))^$B$39</f>
        <v>1.1460619361131434E-2</v>
      </c>
      <c r="S2">
        <f>(накопительные!S2/SUM(накопительные!S$2:S$34))^$B$39</f>
        <v>1.1060558518983373E-2</v>
      </c>
      <c r="T2">
        <f>(накопительные!T2/SUM(накопительные!T$2:T$34))^$B$39</f>
        <v>1.2204921388177151E-2</v>
      </c>
    </row>
    <row r="3" spans="1:20" x14ac:dyDescent="0.25">
      <c r="A3" t="s">
        <v>21</v>
      </c>
      <c r="B3">
        <f>(накопительные!B3/SUM(накопительные!B$2:B$34))^$B$39</f>
        <v>0.42229729729729726</v>
      </c>
      <c r="C3">
        <f>(накопительные!C3/SUM(накопительные!C$2:C$34))^$B$39</f>
        <v>0.63060538116591924</v>
      </c>
      <c r="D3">
        <f>(накопительные!D3/SUM(накопительные!D$2:D$34))^$B$39</f>
        <v>0.52642617449664442</v>
      </c>
      <c r="E3">
        <f>(накопительные!E3/SUM(накопительные!E$2:E$34))^$B$39</f>
        <v>0.5448416431483224</v>
      </c>
      <c r="F3">
        <f>(накопительные!F3/SUM(накопительные!F$2:F$34))^$B$39</f>
        <v>0.47212174129973805</v>
      </c>
      <c r="G3">
        <f>(накопительные!G3/SUM(накопительные!G$2:G$34))^$B$39</f>
        <v>0.42784398131135482</v>
      </c>
      <c r="H3">
        <f>(накопительные!H3/SUM(накопительные!H$2:H$34))^$B$39</f>
        <v>0.4607634716702097</v>
      </c>
      <c r="I3">
        <f>(накопительные!I3/SUM(накопительные!I$2:I$34))^$B$39</f>
        <v>0.44307299425409657</v>
      </c>
      <c r="J3">
        <f>(накопительные!J3/SUM(накопительные!J$2:J$34))^$B$39</f>
        <v>0.40928001199355346</v>
      </c>
      <c r="K3">
        <f>(накопительные!K3/SUM(накопительные!K$2:K$34))^$B$39</f>
        <v>0.41931104164693245</v>
      </c>
      <c r="L3">
        <f>(накопительные!L3/SUM(накопительные!L$2:L$34))^$B$39</f>
        <v>0.42984956676356861</v>
      </c>
      <c r="M3">
        <f>(накопительные!M3/SUM(накопительные!M$2:M$34))^$B$39</f>
        <v>0.4431706270043686</v>
      </c>
      <c r="N3">
        <f>(накопительные!N3/SUM(накопительные!N$2:N$34))^$B$39</f>
        <v>0.42889870338442654</v>
      </c>
      <c r="O3">
        <f>(накопительные!O3/SUM(накопительные!O$2:O$34))^$B$39</f>
        <v>0.41926154235892676</v>
      </c>
      <c r="P3">
        <f>(накопительные!P3/SUM(накопительные!P$2:P$34))^$B$39</f>
        <v>0.39855994051928223</v>
      </c>
      <c r="Q3">
        <f>(накопительные!Q3/SUM(накопительные!Q$2:Q$34))^$B$39</f>
        <v>0.38077821434391335</v>
      </c>
      <c r="R3">
        <f>(накопительные!R3/SUM(накопительные!R$2:R$34))^$B$39</f>
        <v>0.36267577013736485</v>
      </c>
      <c r="S3">
        <f>(накопительные!S3/SUM(накопительные!S$2:S$34))^$B$39</f>
        <v>0.35723250705993104</v>
      </c>
      <c r="T3">
        <f>(накопительные!T3/SUM(накопительные!T$2:T$34))^$B$39</f>
        <v>0.35432175508285707</v>
      </c>
    </row>
    <row r="4" spans="1:20" x14ac:dyDescent="0.25">
      <c r="A4" t="s">
        <v>22</v>
      </c>
      <c r="B4">
        <f>(накопительные!B4/SUM(накопительные!B$2:B$34))^$B$39</f>
        <v>0</v>
      </c>
      <c r="C4">
        <f>(накопительные!C4/SUM(накопительные!C$2:C$34))^$B$39</f>
        <v>0</v>
      </c>
      <c r="D4">
        <f>(накопительные!D4/SUM(накопительные!D$2:D$34))^$B$39</f>
        <v>0</v>
      </c>
      <c r="E4">
        <f>(накопительные!E4/SUM(накопительные!E$2:E$34))^$B$39</f>
        <v>0</v>
      </c>
      <c r="F4">
        <f>(накопительные!F4/SUM(накопительные!F$2:F$34))^$B$39</f>
        <v>0</v>
      </c>
      <c r="G4">
        <f>(накопительные!G4/SUM(накопительные!G$2:G$34))^$B$39</f>
        <v>2.6248097012966556E-4</v>
      </c>
      <c r="H4">
        <f>(накопительные!H4/SUM(накопительные!H$2:H$34))^$B$39</f>
        <v>3.235049450041593E-4</v>
      </c>
      <c r="I4">
        <f>(накопительные!I4/SUM(накопительные!I$2:I$34))^$B$39</f>
        <v>3.4049797829325385E-4</v>
      </c>
      <c r="J4">
        <f>(накопительные!J4/SUM(накопительные!J$2:J$34))^$B$39</f>
        <v>2.9983883662531392E-4</v>
      </c>
      <c r="K4">
        <f>(накопительные!K4/SUM(накопительные!K$2:K$34))^$B$39</f>
        <v>2.5259701304032074E-4</v>
      </c>
      <c r="L4">
        <f>(накопительные!L4/SUM(накопительные!L$2:L$34))^$B$39</f>
        <v>7.9026840902034939E-4</v>
      </c>
      <c r="M4">
        <f>(накопительные!M4/SUM(накопительные!M$2:M$34))^$B$39</f>
        <v>7.0705285220070205E-4</v>
      </c>
      <c r="N4">
        <f>(накопительные!N4/SUM(накопительные!N$2:N$34))^$B$39</f>
        <v>6.6129756028435811E-4</v>
      </c>
      <c r="O4">
        <f>(накопительные!O4/SUM(накопительные!O$2:O$34))^$B$39</f>
        <v>5.9110388650805397E-4</v>
      </c>
      <c r="P4">
        <f>(накопительные!P4/SUM(накопительные!P$2:P$34))^$B$39</f>
        <v>5.4784871549042242E-4</v>
      </c>
      <c r="Q4">
        <f>(накопительные!Q4/SUM(накопительные!Q$2:Q$34))^$B$39</f>
        <v>5.0698002860815868E-4</v>
      </c>
      <c r="R4">
        <f>(накопительные!R4/SUM(накопительные!R$2:R$34))^$B$39</f>
        <v>4.5517353491018457E-4</v>
      </c>
      <c r="S4">
        <f>(накопительные!S4/SUM(накопительные!S$2:S$34))^$B$39</f>
        <v>4.3928459366175102E-4</v>
      </c>
      <c r="T4">
        <f>(накопительные!T4/SUM(накопительные!T$2:T$34))^$B$39</f>
        <v>4.2451900480616175E-4</v>
      </c>
    </row>
    <row r="5" spans="1:20" x14ac:dyDescent="0.25">
      <c r="A5" t="s">
        <v>23</v>
      </c>
      <c r="B5">
        <f>(накопительные!B5/SUM(накопительные!B$2:B$34))^$B$39</f>
        <v>1.6891891891891891E-3</v>
      </c>
      <c r="C5">
        <f>(накопительные!C5/SUM(накопительные!C$2:C$34))^$B$39</f>
        <v>3.2230941704035876E-3</v>
      </c>
      <c r="D5">
        <f>(накопительные!D5/SUM(накопительные!D$2:D$34))^$B$39</f>
        <v>2.4119127516778528E-3</v>
      </c>
      <c r="E5">
        <f>(накопительные!E5/SUM(накопительные!E$2:E$34))^$B$39</f>
        <v>2.5870178739416747E-3</v>
      </c>
      <c r="F5">
        <f>(накопительные!F5/SUM(накопительные!F$2:F$34))^$B$39</f>
        <v>1.2036921541723838E-2</v>
      </c>
      <c r="G5">
        <f>(накопительные!G5/SUM(накопительные!G$2:G$34))^$B$39</f>
        <v>1.3806499028820408E-2</v>
      </c>
      <c r="H5">
        <f>(накопительные!H5/SUM(накопительные!H$2:H$34))^$B$39</f>
        <v>1.2616692855162211E-2</v>
      </c>
      <c r="I5">
        <f>(накопительные!I5/SUM(накопительные!I$2:I$34))^$B$39</f>
        <v>1.1747180251117257E-2</v>
      </c>
      <c r="J5">
        <f>(накопительные!J5/SUM(накопительные!J$2:J$34))^$B$39</f>
        <v>1.5966418050297963E-2</v>
      </c>
      <c r="K5">
        <f>(накопительные!K5/SUM(накопительные!K$2:K$34))^$B$39</f>
        <v>1.3450790944397079E-2</v>
      </c>
      <c r="L5">
        <f>(накопительные!L5/SUM(накопительные!L$2:L$34))^$B$39</f>
        <v>1.2023369365809599E-2</v>
      </c>
      <c r="M5">
        <f>(накопительные!M5/SUM(накопительные!M$2:M$34))^$B$39</f>
        <v>1.0883563546375092E-2</v>
      </c>
      <c r="N5">
        <f>(накопительные!N5/SUM(накопительные!N$2:N$34))^$B$39</f>
        <v>1.0651614274580196E-2</v>
      </c>
      <c r="O5">
        <f>(накопительные!O5/SUM(накопительные!O$2:O$34))^$B$39</f>
        <v>9.520994743397581E-3</v>
      </c>
      <c r="P5">
        <f>(накопительные!P5/SUM(накопительные!P$2:P$34))^$B$39</f>
        <v>1.0585219824297089E-2</v>
      </c>
      <c r="Q5">
        <f>(накопительные!Q5/SUM(накопительные!Q$2:Q$34))^$B$39</f>
        <v>9.7955784098933494E-3</v>
      </c>
      <c r="R5">
        <f>(накопительные!R5/SUM(накопительные!R$2:R$34))^$B$39</f>
        <v>8.810859140047143E-3</v>
      </c>
      <c r="S5">
        <f>(накопительные!S5/SUM(накопительные!S$2:S$34))^$B$39</f>
        <v>8.9739566990900549E-3</v>
      </c>
      <c r="T5">
        <f>(накопительные!T5/SUM(накопительные!T$2:T$34))^$B$39</f>
        <v>8.7026395985263134E-3</v>
      </c>
    </row>
    <row r="6" spans="1:20" x14ac:dyDescent="0.25">
      <c r="A6" t="s">
        <v>24</v>
      </c>
      <c r="B6">
        <f>(накопительные!B6/SUM(накопительные!B$2:B$34))^$B$39</f>
        <v>0</v>
      </c>
      <c r="C6">
        <f>(накопительные!C6/SUM(накопительные!C$2:C$34))^$B$39</f>
        <v>0</v>
      </c>
      <c r="D6">
        <f>(накопительные!D6/SUM(накопительные!D$2:D$34))^$B$39</f>
        <v>0</v>
      </c>
      <c r="E6">
        <f>(накопительные!E6/SUM(накопительные!E$2:E$34))^$B$39</f>
        <v>0</v>
      </c>
      <c r="F6">
        <f>(накопительные!F6/SUM(накопительные!F$2:F$34))^$B$39</f>
        <v>6.2367469128102787E-5</v>
      </c>
      <c r="G6">
        <f>(накопительные!G6/SUM(накопительные!G$2:G$34))^$B$39</f>
        <v>5.2496194025933111E-5</v>
      </c>
      <c r="H6">
        <f>(накопительные!H6/SUM(накопительные!H$2:H$34))^$B$39</f>
        <v>4.6214992143451327E-5</v>
      </c>
      <c r="I6">
        <f>(накопительные!I6/SUM(накопительные!I$2:I$34))^$B$39</f>
        <v>2.5537348371994039E-4</v>
      </c>
      <c r="J6">
        <f>(накопительные!J6/SUM(накопительные!J$2:J$34))^$B$39</f>
        <v>2.2487912746898544E-4</v>
      </c>
      <c r="K6">
        <f>(накопительные!K6/SUM(накопительные!K$2:K$34))^$B$39</f>
        <v>1.8944775978024057E-4</v>
      </c>
      <c r="L6">
        <f>(накопительные!L6/SUM(накопительные!L$2:L$34))^$B$39</f>
        <v>1.6934323050436057E-4</v>
      </c>
      <c r="M6">
        <f>(накопительные!M6/SUM(накопительные!M$2:M$34))^$B$39</f>
        <v>4.0403020125754404E-4</v>
      </c>
      <c r="N6">
        <f>(накопительные!N6/SUM(накопительные!N$2:N$34))^$B$39</f>
        <v>6.1406202026404681E-4</v>
      </c>
      <c r="O6">
        <f>(накопительные!O6/SUM(накопительные!O$2:O$34))^$B$39</f>
        <v>1.1822077730161079E-3</v>
      </c>
      <c r="P6">
        <f>(накопительные!P6/SUM(накопительные!P$2:P$34))^$B$39</f>
        <v>1.4870179420454321E-3</v>
      </c>
      <c r="Q6">
        <f>(накопительные!Q6/SUM(накопительные!Q$2:Q$34))^$B$39</f>
        <v>1.5571529450107728E-3</v>
      </c>
      <c r="R6">
        <f>(накопительные!R6/SUM(накопительные!R$2:R$34))^$B$39</f>
        <v>1.398033000081281E-3</v>
      </c>
      <c r="S6">
        <f>(накопительные!S6/SUM(накопительные!S$2:S$34))^$B$39</f>
        <v>1.9767806714778794E-3</v>
      </c>
      <c r="T6">
        <f>(накопительные!T6/SUM(накопительные!T$2:T$34))^$B$39</f>
        <v>2.0619494519156429E-3</v>
      </c>
    </row>
    <row r="7" spans="1:20" x14ac:dyDescent="0.25">
      <c r="A7" t="s">
        <v>25</v>
      </c>
      <c r="B7">
        <f>(накопительные!B7/SUM(накопительные!B$2:B$34))^$B$39</f>
        <v>0</v>
      </c>
      <c r="C7">
        <f>(накопительные!C7/SUM(накопительные!C$2:C$34))^$B$39</f>
        <v>0</v>
      </c>
      <c r="D7">
        <f>(накопительные!D7/SUM(накопительные!D$2:D$34))^$B$39</f>
        <v>1.0486577181208056E-3</v>
      </c>
      <c r="E7">
        <f>(накопительные!E7/SUM(накопительные!E$2:E$34))^$B$39</f>
        <v>7.8394481028535592E-4</v>
      </c>
      <c r="F7">
        <f>(накопительные!F7/SUM(накопительные!F$2:F$34))^$B$39</f>
        <v>6.2367469128102781E-4</v>
      </c>
      <c r="G7">
        <f>(накопительные!G7/SUM(накопительные!G$2:G$34))^$B$39</f>
        <v>5.2496194025933112E-4</v>
      </c>
      <c r="H7">
        <f>(накопительные!H7/SUM(накопительные!H$2:H$34))^$B$39</f>
        <v>5.5457990572141598E-4</v>
      </c>
      <c r="I7">
        <f>(накопительные!I7/SUM(накопительные!I$2:I$34))^$B$39</f>
        <v>5.1074696743988077E-4</v>
      </c>
      <c r="J7">
        <f>(накопительные!J7/SUM(накопительные!J$2:J$34))^$B$39</f>
        <v>4.4975825493797088E-4</v>
      </c>
      <c r="K7">
        <f>(накопительные!K7/SUM(накопительные!K$2:K$34))^$B$39</f>
        <v>3.7889551956048114E-4</v>
      </c>
      <c r="L7">
        <f>(накопительные!L7/SUM(накопительные!L$2:L$34))^$B$39</f>
        <v>3.3868646100872115E-4</v>
      </c>
      <c r="M7">
        <f>(накопительные!M7/SUM(накопительные!M$2:M$34))^$B$39</f>
        <v>3.03022650943158E-4</v>
      </c>
      <c r="N7">
        <f>(накопительные!N7/SUM(накопительные!N$2:N$34))^$B$39</f>
        <v>2.8341324012186775E-4</v>
      </c>
      <c r="O7">
        <f>(накопительные!O7/SUM(накопительные!O$2:O$34))^$B$39</f>
        <v>2.5333023707488025E-4</v>
      </c>
      <c r="P7">
        <f>(накопительные!P7/SUM(накопительные!P$2:P$34))^$B$39</f>
        <v>4.7349781838815072E-3</v>
      </c>
      <c r="Q7">
        <f>(накопительные!Q7/SUM(накопительные!Q$2:Q$34))^$B$39</f>
        <v>1.0356877727280953E-2</v>
      </c>
      <c r="R7">
        <f>(накопительные!R7/SUM(накопительные!R$2:R$34))^$B$39</f>
        <v>1.0111354954076241E-2</v>
      </c>
      <c r="S7">
        <f>(накопительные!S7/SUM(накопительные!S$2:S$34))^$B$39</f>
        <v>9.7583934734860392E-3</v>
      </c>
      <c r="T7">
        <f>(накопительные!T7/SUM(накопительные!T$2:T$34))^$B$39</f>
        <v>9.4303864639083065E-3</v>
      </c>
    </row>
    <row r="8" spans="1:20" x14ac:dyDescent="0.25">
      <c r="A8" t="s">
        <v>26</v>
      </c>
      <c r="B8">
        <f>(накопительные!B8/SUM(накопительные!B$2:B$34))^$B$39</f>
        <v>0</v>
      </c>
      <c r="C8">
        <f>(накопительные!C8/SUM(накопительные!C$2:C$34))^$B$39</f>
        <v>0</v>
      </c>
      <c r="D8">
        <f>(накопительные!D8/SUM(накопительные!D$2:D$34))^$B$39</f>
        <v>0</v>
      </c>
      <c r="E8">
        <f>(накопительные!E8/SUM(накопительные!E$2:E$34))^$B$39</f>
        <v>0</v>
      </c>
      <c r="F8">
        <f>(накопительные!F8/SUM(накопительные!F$2:F$34))^$B$39</f>
        <v>0</v>
      </c>
      <c r="G8">
        <f>(накопительные!G8/SUM(накопительные!G$2:G$34))^$B$39</f>
        <v>2.6248097012966554E-3</v>
      </c>
      <c r="H8">
        <f>(накопительные!H8/SUM(накопительные!H$2:H$34))^$B$39</f>
        <v>3.9282743321933621E-3</v>
      </c>
      <c r="I8">
        <f>(накопительные!I8/SUM(накопительные!I$2:I$34))^$B$39</f>
        <v>4.0434134922323886E-3</v>
      </c>
      <c r="J8">
        <f>(накопительные!J8/SUM(накопительные!J$2:J$34))^$B$39</f>
        <v>4.6849818222705298E-3</v>
      </c>
      <c r="K8">
        <f>(накопительные!K8/SUM(накопительные!K$2:K$34))^$B$39</f>
        <v>6.4727984591582176E-3</v>
      </c>
      <c r="L8">
        <f>(накопительные!L8/SUM(накопительные!L$2:L$34))^$B$39</f>
        <v>1.0019474471508E-2</v>
      </c>
      <c r="M8">
        <f>(накопительные!M8/SUM(накопительные!M$2:M$34))^$B$39</f>
        <v>1.0732052220903513E-2</v>
      </c>
      <c r="N8">
        <f>(накопительные!N8/SUM(накопительные!N$2:N$34))^$B$39</f>
        <v>1.1690796155027045E-2</v>
      </c>
      <c r="O8">
        <f>(накопительные!O8/SUM(накопительные!O$2:O$34))^$B$39</f>
        <v>1.1927631995608945E-2</v>
      </c>
      <c r="P8">
        <f>(накопительные!P8/SUM(накопительные!P$2:P$34))^$B$39</f>
        <v>1.1054804437574594E-2</v>
      </c>
      <c r="Q8">
        <f>(накопительные!Q8/SUM(накопительные!Q$2:Q$34))^$B$39</f>
        <v>1.0230132720128914E-2</v>
      </c>
      <c r="R8">
        <f>(накопительные!R8/SUM(накопительные!R$2:R$34))^$B$39</f>
        <v>9.2660326749573283E-3</v>
      </c>
      <c r="S8">
        <f>(накопительные!S8/SUM(накопительные!S$2:S$34))^$B$39</f>
        <v>9.883903357389397E-3</v>
      </c>
      <c r="T8">
        <f>(накопительные!T8/SUM(накопительные!T$2:T$34))^$B$39</f>
        <v>1.1825886562457361E-2</v>
      </c>
    </row>
    <row r="9" spans="1:20" x14ac:dyDescent="0.25">
      <c r="A9" t="s">
        <v>27</v>
      </c>
      <c r="B9">
        <f>(накопительные!B9/SUM(накопительные!B$2:B$34))^$B$39</f>
        <v>0</v>
      </c>
      <c r="C9">
        <f>(накопительные!C9/SUM(накопительные!C$2:C$34))^$B$39</f>
        <v>0</v>
      </c>
      <c r="D9">
        <f>(накопительные!D9/SUM(накопительные!D$2:D$34))^$B$39</f>
        <v>0</v>
      </c>
      <c r="E9">
        <f>(накопительные!E9/SUM(накопительные!E$2:E$34))^$B$39</f>
        <v>0</v>
      </c>
      <c r="F9">
        <f>(накопительные!F9/SUM(накопительные!F$2:F$34))^$B$39</f>
        <v>0</v>
      </c>
      <c r="G9">
        <f>(накопительные!G9/SUM(накопительные!G$2:G$34))^$B$39</f>
        <v>0</v>
      </c>
      <c r="H9">
        <f>(накопительные!H9/SUM(накопительные!H$2:H$34))^$B$39</f>
        <v>0</v>
      </c>
      <c r="I9">
        <f>(накопительные!I9/SUM(накопительные!I$2:I$34))^$B$39</f>
        <v>0</v>
      </c>
      <c r="J9">
        <f>(накопительные!J9/SUM(накопительные!J$2:J$34))^$B$39</f>
        <v>5.9967767325062784E-3</v>
      </c>
      <c r="K9">
        <f>(накопительные!K9/SUM(накопительные!K$2:K$34))^$B$39</f>
        <v>5.0519402608064151E-3</v>
      </c>
      <c r="L9">
        <f>(накопительные!L9/SUM(накопительные!L$2:L$34))^$B$39</f>
        <v>1.1289548700290704E-2</v>
      </c>
      <c r="M9">
        <f>(накопительные!M9/SUM(накопительные!M$2:M$34))^$B$39</f>
        <v>1.0100755031438599E-2</v>
      </c>
      <c r="N9">
        <f>(накопительные!N9/SUM(накопительные!N$2:N$34))^$B$39</f>
        <v>9.4471080040622584E-3</v>
      </c>
      <c r="O9">
        <f>(накопительные!O9/SUM(накопительные!O$2:O$34))^$B$39</f>
        <v>8.8665582976208083E-3</v>
      </c>
      <c r="P9">
        <f>(накопительные!P9/SUM(накопительные!P$2:P$34))^$B$39</f>
        <v>8.6090512434209236E-3</v>
      </c>
      <c r="Q9">
        <f>(накопительные!Q9/SUM(накопительные!Q$2:Q$34))^$B$39</f>
        <v>7.9668290209853505E-3</v>
      </c>
      <c r="R9">
        <f>(накопительные!R9/SUM(накопительные!R$2:R$34))^$B$39</f>
        <v>7.1527269771600429E-3</v>
      </c>
      <c r="S9">
        <f>(накопительные!S9/SUM(накопительные!S$2:S$34))^$B$39</f>
        <v>6.9030436146846584E-3</v>
      </c>
      <c r="T9">
        <f>(накопительные!T9/SUM(накопительные!T$2:T$34))^$B$39</f>
        <v>6.6710129326682556E-3</v>
      </c>
    </row>
    <row r="10" spans="1:20" x14ac:dyDescent="0.25">
      <c r="A10" t="s">
        <v>28</v>
      </c>
      <c r="B10">
        <f>(накопительные!B10/SUM(накопительные!B$2:B$34))^$B$39</f>
        <v>1.4076576576576575E-2</v>
      </c>
      <c r="C10">
        <f>(накопительные!C10/SUM(накопительные!C$2:C$34))^$B$39</f>
        <v>6.3060538116591928E-3</v>
      </c>
      <c r="D10">
        <f>(накопительные!D10/SUM(накопительные!D$2:D$34))^$B$39</f>
        <v>2.4643456375838931E-2</v>
      </c>
      <c r="E10">
        <f>(накопительные!E10/SUM(накопительные!E$2:E$34))^$B$39</f>
        <v>1.881467544684854E-2</v>
      </c>
      <c r="F10">
        <f>(накопительные!F10/SUM(накопительные!F$2:F$34))^$B$39</f>
        <v>1.4968192590744667E-2</v>
      </c>
      <c r="G10">
        <f>(накопительные!G10/SUM(накопительные!G$2:G$34))^$B$39</f>
        <v>1.6798782088298596E-2</v>
      </c>
      <c r="H10">
        <f>(накопительные!H10/SUM(накопительные!H$2:H$34))^$B$39</f>
        <v>1.4788797485904425E-2</v>
      </c>
      <c r="I10">
        <f>(накопительные!I10/SUM(накопительные!I$2:I$34))^$B$39</f>
        <v>1.3619919131730154E-2</v>
      </c>
      <c r="J10">
        <f>(накопительные!J10/SUM(накопительные!J$2:J$34))^$B$39</f>
        <v>1.8365128743300478E-2</v>
      </c>
      <c r="K10">
        <f>(накопительные!K10/SUM(накопительные!K$2:K$34))^$B$39</f>
        <v>1.5471567048719645E-2</v>
      </c>
      <c r="L10">
        <f>(накопительные!L10/SUM(накопительные!L$2:L$34))^$B$39</f>
        <v>1.9192232790494198E-2</v>
      </c>
      <c r="M10">
        <f>(накопительные!M10/SUM(накопительные!M$2:M$34))^$B$39</f>
        <v>1.7802580742910534E-2</v>
      </c>
      <c r="N10">
        <f>(накопительные!N10/SUM(накопительные!N$2:N$34))^$B$39</f>
        <v>1.6650527857159734E-2</v>
      </c>
      <c r="O10">
        <f>(накопительные!O10/SUM(накопительные!O$2:O$34))^$B$39</f>
        <v>1.5094259959044948E-2</v>
      </c>
      <c r="P10">
        <f>(накопительные!P10/SUM(накопительные!P$2:P$34))^$B$39</f>
        <v>1.3989708270558999E-2</v>
      </c>
      <c r="Q10">
        <f>(накопительные!Q10/SUM(накопительные!Q$2:Q$34))^$B$39</f>
        <v>1.2946097159101192E-2</v>
      </c>
      <c r="R10">
        <f>(накопительные!R10/SUM(накопительные!R$2:R$34))^$B$39</f>
        <v>1.2110867268145982E-2</v>
      </c>
      <c r="S10">
        <f>(накопительные!S10/SUM(накопительные!S$2:S$34))^$B$39</f>
        <v>1.1766551615939758E-2</v>
      </c>
      <c r="T10">
        <f>(накопительные!T10/SUM(накопительные!T$2:T$34))^$B$39</f>
        <v>1.1371044771593617E-2</v>
      </c>
    </row>
    <row r="11" spans="1:20" x14ac:dyDescent="0.25">
      <c r="A11" t="s">
        <v>29</v>
      </c>
      <c r="B11">
        <f>(накопительные!B11/SUM(накопительные!B$2:B$34))^$B$39</f>
        <v>2.815315315315315E-2</v>
      </c>
      <c r="C11">
        <f>(накопительные!C11/SUM(накопительные!C$2:C$34))^$B$39</f>
        <v>2.8026905829596414E-2</v>
      </c>
      <c r="D11">
        <f>(накопительные!D11/SUM(накопительные!D$2:D$34))^$B$39</f>
        <v>5.4530201342281891E-2</v>
      </c>
      <c r="E11">
        <f>(накопительные!E11/SUM(накопительные!E$2:E$34))^$B$39</f>
        <v>4.3116964565694575E-2</v>
      </c>
      <c r="F11">
        <f>(накопительные!F11/SUM(накопительные!F$2:F$34))^$B$39</f>
        <v>3.430210802045653E-2</v>
      </c>
      <c r="G11">
        <f>(накопительные!G11/SUM(накопительные!G$2:G$34))^$B$39</f>
        <v>2.8872906714263211E-2</v>
      </c>
      <c r="H11">
        <f>(накопительные!H11/SUM(накопительные!H$2:H$34))^$B$39</f>
        <v>2.7266845364636284E-2</v>
      </c>
      <c r="I11">
        <f>(накопительные!I11/SUM(накопительные!I$2:I$34))^$B$39</f>
        <v>2.5111725899127472E-2</v>
      </c>
      <c r="J11">
        <f>(накопительные!J11/SUM(накопительные!J$2:J$34))^$B$39</f>
        <v>2.2113114201116901E-2</v>
      </c>
      <c r="K11">
        <f>(накопительные!K11/SUM(накопительные!K$2:K$34))^$B$39</f>
        <v>1.8629029711723654E-2</v>
      </c>
      <c r="L11">
        <f>(накопительные!L11/SUM(накопительные!L$2:L$34))^$B$39</f>
        <v>1.665208433292879E-2</v>
      </c>
      <c r="M11">
        <f>(накопительные!M11/SUM(накопительные!M$2:M$34))^$B$39</f>
        <v>1.4898613671371937E-2</v>
      </c>
      <c r="N11">
        <f>(накопительные!N11/SUM(накопительные!N$2:N$34))^$B$39</f>
        <v>1.3934484305991831E-2</v>
      </c>
      <c r="O11">
        <f>(накопительные!O11/SUM(накопительные!O$2:O$34))^$B$39</f>
        <v>1.2455403322848278E-2</v>
      </c>
      <c r="P11">
        <f>(накопительные!P11/SUM(накопительные!P$2:P$34))^$B$39</f>
        <v>1.1543955076405328E-2</v>
      </c>
      <c r="Q11">
        <f>(накопительные!Q11/SUM(накопительные!Q$2:Q$34))^$B$39</f>
        <v>1.0682793459957629E-2</v>
      </c>
      <c r="R11">
        <f>(накопительные!R11/SUM(накопительные!R$2:R$34))^$B$39</f>
        <v>9.5911566284646033E-3</v>
      </c>
      <c r="S11">
        <f>(накопительные!S11/SUM(накопительные!S$2:S$34))^$B$39</f>
        <v>9.2563539378726096E-3</v>
      </c>
      <c r="T11">
        <f>(накопительные!T11/SUM(накопительные!T$2:T$34))^$B$39</f>
        <v>8.9452218869869801E-3</v>
      </c>
    </row>
    <row r="12" spans="1:20" x14ac:dyDescent="0.25">
      <c r="A12" t="s">
        <v>30</v>
      </c>
      <c r="B12">
        <f>(накопительные!B12/SUM(накопительные!B$2:B$34))^$B$39</f>
        <v>0</v>
      </c>
      <c r="C12">
        <f>(накопительные!C12/SUM(накопительные!C$2:C$34))^$B$39</f>
        <v>0</v>
      </c>
      <c r="D12">
        <f>(накопительные!D12/SUM(накопительные!D$2:D$34))^$B$39</f>
        <v>0</v>
      </c>
      <c r="E12">
        <f>(накопительные!E12/SUM(накопительные!E$2:E$34))^$B$39</f>
        <v>0</v>
      </c>
      <c r="F12">
        <f>(накопительные!F12/SUM(накопительные!F$2:F$34))^$B$39</f>
        <v>1.3097168516901585E-2</v>
      </c>
      <c r="G12">
        <f>(накопительные!G12/SUM(накопительные!G$2:G$34))^$B$39</f>
        <v>1.5223896267520604E-2</v>
      </c>
      <c r="H12">
        <f>(накопительные!H12/SUM(накопительные!H$2:H$34))^$B$39</f>
        <v>1.5250947407338938E-2</v>
      </c>
      <c r="I12">
        <f>(накопительные!I12/SUM(накопительные!I$2:I$34))^$B$39</f>
        <v>1.6173653968929558E-2</v>
      </c>
      <c r="J12">
        <f>(накопительные!J12/SUM(накопительные!J$2:J$34))^$B$39</f>
        <v>1.6116337468610624E-2</v>
      </c>
      <c r="K12">
        <f>(накопительные!K12/SUM(накопительные!K$2:K$34))^$B$39</f>
        <v>1.4840074516118846E-2</v>
      </c>
      <c r="L12">
        <f>(накопительные!L12/SUM(накопительные!L$2:L$34))^$B$39</f>
        <v>1.3829697157856116E-2</v>
      </c>
      <c r="M12">
        <f>(накопительные!M12/SUM(накопительные!M$2:M$34))^$B$39</f>
        <v>1.4646094795585974E-2</v>
      </c>
      <c r="N12">
        <f>(накопительные!N12/SUM(накопительные!N$2:N$34))^$B$39</f>
        <v>1.558772820670273E-2</v>
      </c>
      <c r="O12">
        <f>(накопительные!O12/SUM(накопительные!O$2:O$34))^$B$39</f>
        <v>1.4883151428149216E-2</v>
      </c>
      <c r="P12">
        <f>(накопительные!P12/SUM(накопительные!P$2:P$34))^$B$39</f>
        <v>1.3891878142792856E-2</v>
      </c>
      <c r="Q12">
        <f>(накопительные!Q12/SUM(накопительные!Q$2:Q$34))^$B$39</f>
        <v>1.3036629307066937E-2</v>
      </c>
      <c r="R12">
        <f>(накопительные!R12/SUM(накопительные!R$2:R$34))^$B$39</f>
        <v>1.2517272210030076E-2</v>
      </c>
      <c r="S12">
        <f>(накопительные!S12/SUM(накопительные!S$2:S$34))^$B$39</f>
        <v>1.3413868842171325E-2</v>
      </c>
      <c r="T12">
        <f>(накопительные!T12/SUM(накопительные!T$2:T$34))^$B$39</f>
        <v>1.3114604969904639E-2</v>
      </c>
    </row>
    <row r="13" spans="1:20" x14ac:dyDescent="0.25">
      <c r="A13" t="s">
        <v>31</v>
      </c>
      <c r="B13">
        <f>(накопительные!B13/SUM(накопительные!B$2:B$34))^$B$39</f>
        <v>0</v>
      </c>
      <c r="C13">
        <f>(накопительные!C13/SUM(накопительные!C$2:C$34))^$B$39</f>
        <v>0</v>
      </c>
      <c r="D13">
        <f>(накопительные!D13/SUM(накопительные!D$2:D$34))^$B$39</f>
        <v>0</v>
      </c>
      <c r="E13">
        <f>(накопительные!E13/SUM(накопительные!E$2:E$34))^$B$39</f>
        <v>0</v>
      </c>
      <c r="F13">
        <f>(накопительные!F13/SUM(накопительные!F$2:F$34))^$B$39</f>
        <v>1.7462891355868777E-2</v>
      </c>
      <c r="G13">
        <f>(накопительные!G13/SUM(накопительные!G$2:G$34))^$B$39</f>
        <v>2.7298020893485212E-2</v>
      </c>
      <c r="H13">
        <f>(накопительные!H13/SUM(накопительные!H$2:H$34))^$B$39</f>
        <v>2.4031795914594686E-2</v>
      </c>
      <c r="I13">
        <f>(накопительные!I13/SUM(накопительные!I$2:I$34))^$B$39</f>
        <v>3.6177910193658215E-2</v>
      </c>
      <c r="J13">
        <f>(накопительные!J13/SUM(накопительные!J$2:J$34))^$B$39</f>
        <v>3.1857876391439603E-2</v>
      </c>
      <c r="K13">
        <f>(накопительные!K13/SUM(накопительные!K$2:K$34))^$B$39</f>
        <v>4.1678507151652916E-2</v>
      </c>
      <c r="L13">
        <f>(накопительные!L13/SUM(накопительные!L$2:L$34))^$B$39</f>
        <v>3.7255510710959318E-2</v>
      </c>
      <c r="M13">
        <f>(накопительные!M13/SUM(накопительные!M$2:M$34))^$B$39</f>
        <v>3.3332491603747377E-2</v>
      </c>
      <c r="N13">
        <f>(накопительные!N13/SUM(накопительные!N$2:N$34))^$B$39</f>
        <v>3.1175456413405449E-2</v>
      </c>
      <c r="O13">
        <f>(накопительные!O13/SUM(накопительные!O$2:O$34))^$B$39</f>
        <v>2.9555194325402694E-2</v>
      </c>
      <c r="P13">
        <f>(накопительные!P13/SUM(накопительные!P$2:P$34))^$B$39</f>
        <v>2.7392435774521117E-2</v>
      </c>
      <c r="Q13">
        <f>(накопительные!Q13/SUM(накопительные!Q$2:Q$34))^$B$39</f>
        <v>2.5349001430407928E-2</v>
      </c>
      <c r="R13">
        <f>(накопительные!R13/SUM(накопительные!R$2:R$34))^$B$39</f>
        <v>2.2839957733886047E-2</v>
      </c>
      <c r="S13">
        <f>(накопительные!S13/SUM(накопительные!S$2:S$34))^$B$39</f>
        <v>2.2199560715406342E-2</v>
      </c>
      <c r="T13">
        <f>(накопительные!T13/SUM(накопительные!T$2:T$34))^$B$39</f>
        <v>2.145337113573996E-2</v>
      </c>
    </row>
    <row r="14" spans="1:20" x14ac:dyDescent="0.25">
      <c r="A14" t="s">
        <v>32</v>
      </c>
      <c r="B14">
        <f>(накопительные!B14/SUM(накопительные!B$2:B$34))^$B$39</f>
        <v>7.31981981981982E-2</v>
      </c>
      <c r="C14">
        <f>(накопительные!C14/SUM(накопительные!C$2:C$34))^$B$39</f>
        <v>0.14293721973094173</v>
      </c>
      <c r="D14">
        <f>(накопительные!D14/SUM(накопительные!D$2:D$34))^$B$39</f>
        <v>0.17407718120805374</v>
      </c>
      <c r="E14">
        <f>(накопительные!E14/SUM(накопительные!E$2:E$34))^$B$39</f>
        <v>0.19677014738162435</v>
      </c>
      <c r="F14">
        <f>(накопительные!F14/SUM(накопительные!F$2:F$34))^$B$39</f>
        <v>0.17338156417612574</v>
      </c>
      <c r="G14">
        <f>(накопительные!G14/SUM(накопительные!G$2:G$34))^$B$39</f>
        <v>0.15906346789857734</v>
      </c>
      <c r="H14">
        <f>(накопительные!H14/SUM(накопительные!H$2:H$34))^$B$39</f>
        <v>0.14927442462334775</v>
      </c>
      <c r="I14">
        <f>(накопительные!I14/SUM(накопительные!I$2:I$34))^$B$39</f>
        <v>0.14215790593743347</v>
      </c>
      <c r="J14">
        <f>(накопительные!J14/SUM(накопительные!J$2:J$34))^$B$39</f>
        <v>0.15591619504516321</v>
      </c>
      <c r="K14">
        <f>(накопительные!K14/SUM(накопительные!K$2:K$34))^$B$39</f>
        <v>0.13135044678096675</v>
      </c>
      <c r="L14">
        <f>(накопительные!L14/SUM(накопительные!L$2:L$34))^$B$39</f>
        <v>0.11755242584177693</v>
      </c>
      <c r="M14">
        <f>(накопительные!M14/SUM(накопительные!M$2:M$34))^$B$39</f>
        <v>0.10555289007853334</v>
      </c>
      <c r="N14">
        <f>(накопительные!N14/SUM(накопительные!N$2:N$34))^$B$39</f>
        <v>9.895845634255214E-2</v>
      </c>
      <c r="O14">
        <f>(накопительные!O14/SUM(накопительные!O$2:O$34))^$B$39</f>
        <v>8.8454474445312334E-2</v>
      </c>
      <c r="P14">
        <f>(накопительные!P14/SUM(накопительные!P$2:P$34))^$B$39</f>
        <v>8.7460134222935262E-2</v>
      </c>
      <c r="Q14">
        <f>(накопительные!Q14/SUM(накопительные!Q$2:Q$34))^$B$39</f>
        <v>8.3832769016277633E-2</v>
      </c>
      <c r="R14">
        <f>(накопительные!R14/SUM(накопительные!R$2:R$34))^$B$39</f>
        <v>8.4369665935137755E-2</v>
      </c>
      <c r="S14">
        <f>(накопительные!S14/SUM(накопительные!S$2:S$34))^$B$39</f>
        <v>8.150298085974271E-2</v>
      </c>
      <c r="T14">
        <f>(накопительные!T14/SUM(накопительные!T$2:T$34))^$B$39</f>
        <v>8.1340873599466332E-2</v>
      </c>
    </row>
    <row r="15" spans="1:20" x14ac:dyDescent="0.25">
      <c r="A15" t="s">
        <v>33</v>
      </c>
      <c r="B15">
        <f>(накопительные!B15/SUM(накопительные!B$2:B$34))^$B$39</f>
        <v>2.5337837837837836E-2</v>
      </c>
      <c r="C15">
        <f>(накопительные!C15/SUM(накопительные!C$2:C$34))^$B$39</f>
        <v>2.4523542600896862E-2</v>
      </c>
      <c r="D15">
        <f>(накопительные!D15/SUM(накопительные!D$2:D$34))^$B$39</f>
        <v>2.1497483221476512E-2</v>
      </c>
      <c r="E15">
        <f>(накопительные!E15/SUM(накопительные!E$2:E$34))^$B$39</f>
        <v>1.7246785826277828E-2</v>
      </c>
      <c r="F15">
        <f>(накопительные!F15/SUM(накопительные!F$2:F$34))^$B$39</f>
        <v>1.933391542971186E-2</v>
      </c>
      <c r="G15">
        <f>(накопительные!G15/SUM(накопительные!G$2:G$34))^$B$39</f>
        <v>2.1523439550632573E-2</v>
      </c>
      <c r="H15">
        <f>(накопительные!H15/SUM(накопительные!H$2:H$34))^$B$39</f>
        <v>2.0334596543118581E-2</v>
      </c>
      <c r="I15">
        <f>(накопительные!I15/SUM(накопительные!I$2:I$34))^$B$39</f>
        <v>2.2557991061928066E-2</v>
      </c>
      <c r="J15">
        <f>(накопительные!J15/SUM(накопительные!J$2:J$34))^$B$39</f>
        <v>2.8484689479404818E-2</v>
      </c>
      <c r="K15">
        <f>(накопительные!K15/SUM(накопительные!K$2:K$34))^$B$39</f>
        <v>2.4628208771431272E-2</v>
      </c>
      <c r="L15">
        <f>(накопительные!L15/SUM(накопительные!L$2:L$34))^$B$39</f>
        <v>2.2861336118088674E-2</v>
      </c>
      <c r="M15">
        <f>(накопительные!M15/SUM(накопительные!M$2:M$34))^$B$39</f>
        <v>2.1211585566021061E-2</v>
      </c>
      <c r="N15">
        <f>(накопительные!N15/SUM(накопительные!N$2:N$34))^$B$39</f>
        <v>2.0075104508632299E-2</v>
      </c>
      <c r="O15">
        <f>(накопительные!O15/SUM(накопительные!O$2:O$34))^$B$39</f>
        <v>1.8007557685406069E-2</v>
      </c>
      <c r="P15">
        <f>(накопительные!P15/SUM(накопительные!P$2:P$34))^$B$39</f>
        <v>2.0016044140953641E-2</v>
      </c>
      <c r="Q15">
        <f>(накопительные!Q15/SUM(накопительные!Q$2:Q$34))^$B$39</f>
        <v>1.8885006065653902E-2</v>
      </c>
      <c r="R15">
        <f>(накопительные!R15/SUM(накопительные!R$2:R$34))^$B$39</f>
        <v>1.9393643826708929E-2</v>
      </c>
      <c r="S15">
        <f>(накопительные!S15/SUM(накопительные!S$2:S$34))^$B$39</f>
        <v>1.9814872921242548E-2</v>
      </c>
      <c r="T15">
        <f>(накопительные!T15/SUM(накопительные!T$2:T$34))^$B$39</f>
        <v>2.0664978698242797E-2</v>
      </c>
    </row>
    <row r="16" spans="1:20" x14ac:dyDescent="0.25">
      <c r="A16" t="s">
        <v>34</v>
      </c>
      <c r="B16">
        <f>(накопительные!B16/SUM(накопительные!B$2:B$34))^$B$39</f>
        <v>2.2522522522522521E-2</v>
      </c>
      <c r="C16">
        <f>(накопительные!C16/SUM(накопительные!C$2:C$34))^$B$39</f>
        <v>1.1210762331838566E-2</v>
      </c>
      <c r="D16">
        <f>(накопительные!D16/SUM(накопительные!D$2:D$34))^$B$39</f>
        <v>1.4681208053691277E-2</v>
      </c>
      <c r="E16">
        <f>(накопительные!E16/SUM(накопительные!E$2:E$34))^$B$39</f>
        <v>1.2543116964565693E-2</v>
      </c>
      <c r="F16">
        <f>(накопительные!F16/SUM(накопительные!F$2:F$34))^$B$39</f>
        <v>1.8086566047149807E-2</v>
      </c>
      <c r="G16">
        <f>(накопительные!G16/SUM(накопительные!G$2:G$34))^$B$39</f>
        <v>1.5223896267520602E-2</v>
      </c>
      <c r="H16">
        <f>(накопительные!H16/SUM(накопительные!H$2:H$34))^$B$39</f>
        <v>1.4326647564469911E-2</v>
      </c>
      <c r="I16">
        <f>(накопительные!I16/SUM(накопительные!I$2:I$34))^$B$39</f>
        <v>1.4045541604596722E-2</v>
      </c>
      <c r="J16">
        <f>(накопительные!J16/SUM(накопительные!J$2:J$34))^$B$39</f>
        <v>1.2480791574528692E-2</v>
      </c>
      <c r="K16">
        <f>(накопительные!K16/SUM(накопительные!K$2:K$34))^$B$39</f>
        <v>1.051435066780335E-2</v>
      </c>
      <c r="L16">
        <f>(накопительные!L16/SUM(накопительные!L$2:L$34))^$B$39</f>
        <v>9.3985492929920117E-3</v>
      </c>
      <c r="M16">
        <f>(накопительные!M16/SUM(накопительные!M$2:M$34))^$B$39</f>
        <v>8.4088785636726344E-3</v>
      </c>
      <c r="N16">
        <f>(накопительные!N16/SUM(накопительные!N$2:N$34))^$B$39</f>
        <v>7.8647174133818307E-3</v>
      </c>
      <c r="O16">
        <f>(накопительные!O16/SUM(накопительные!O$2:O$34))^$B$39</f>
        <v>7.0299140788279268E-3</v>
      </c>
      <c r="P16">
        <f>(накопительные!P16/SUM(накопительные!P$2:P$34))^$B$39</f>
        <v>6.7111467647576742E-3</v>
      </c>
      <c r="Q16">
        <f>(накопительные!Q16/SUM(накопительные!Q$2:Q$34))^$B$39</f>
        <v>6.5726339423129139E-3</v>
      </c>
      <c r="R16">
        <f>(накопительные!R16/SUM(накопительные!R$2:R$34))^$B$39</f>
        <v>5.9009997561570359E-3</v>
      </c>
      <c r="S16">
        <f>(накопительные!S16/SUM(накопительные!S$2:S$34))^$B$39</f>
        <v>5.6950109821148429E-3</v>
      </c>
      <c r="T16">
        <f>(накопительные!T16/SUM(накопительные!T$2:T$34))^$B$39</f>
        <v>6.8681110420425453E-3</v>
      </c>
    </row>
    <row r="17" spans="1:20" x14ac:dyDescent="0.25">
      <c r="A17" t="s">
        <v>35</v>
      </c>
      <c r="B17">
        <f>(накопительные!B17/SUM(накопительные!B$2:B$34))^$B$39</f>
        <v>0</v>
      </c>
      <c r="C17">
        <f>(накопительные!C17/SUM(накопительные!C$2:C$34))^$B$39</f>
        <v>0</v>
      </c>
      <c r="D17">
        <f>(накопительные!D17/SUM(накопительные!D$2:D$34))^$B$39</f>
        <v>0</v>
      </c>
      <c r="E17">
        <f>(накопительные!E17/SUM(накопительные!E$2:E$34))^$B$39</f>
        <v>0</v>
      </c>
      <c r="F17">
        <f>(накопительные!F17/SUM(накопительные!F$2:F$34))^$B$39</f>
        <v>1.8710240738430833E-3</v>
      </c>
      <c r="G17">
        <f>(накопительные!G17/SUM(накопительные!G$2:G$34))^$B$39</f>
        <v>1.5748858207779931E-3</v>
      </c>
      <c r="H17">
        <f>(накопительные!H17/SUM(накопительные!H$2:H$34))^$B$39</f>
        <v>1.3864497643035396E-3</v>
      </c>
      <c r="I17">
        <f>(накопительные!I17/SUM(накопительные!I$2:I$34))^$B$39</f>
        <v>1.2768674185997017E-3</v>
      </c>
      <c r="J17">
        <f>(накопительные!J17/SUM(накопительные!J$2:J$34))^$B$39</f>
        <v>1.1243956373449271E-3</v>
      </c>
      <c r="K17">
        <f>(накопительные!K17/SUM(накопительные!K$2:K$34))^$B$39</f>
        <v>9.4723879890120267E-4</v>
      </c>
      <c r="L17">
        <f>(накопительные!L17/SUM(накопительные!L$2:L$34))^$B$39</f>
        <v>8.4671615252180277E-4</v>
      </c>
      <c r="M17">
        <f>(накопительные!M17/SUM(накопительные!M$2:M$34))^$B$39</f>
        <v>7.5755662735789496E-4</v>
      </c>
      <c r="N17">
        <f>(накопительные!N17/SUM(накопительные!N$2:N$34))^$B$39</f>
        <v>7.0853310030466932E-4</v>
      </c>
      <c r="O17">
        <f>(накопительные!O17/SUM(накопительные!O$2:O$34))^$B$39</f>
        <v>6.3332559268720055E-4</v>
      </c>
      <c r="P17">
        <f>(накопительные!P17/SUM(накопительные!P$2:P$34))^$B$39</f>
        <v>1.5652820442583497E-3</v>
      </c>
      <c r="Q17">
        <f>(накопительные!Q17/SUM(накопительные!Q$2:Q$34))^$B$39</f>
        <v>1.4485143674518818E-3</v>
      </c>
      <c r="R17">
        <f>(накопительные!R17/SUM(накопительные!R$2:R$34))^$B$39</f>
        <v>2.3571486629277417E-3</v>
      </c>
      <c r="S17">
        <f>(накопительные!S17/SUM(накопительные!S$2:S$34))^$B$39</f>
        <v>2.2748666457483536E-3</v>
      </c>
      <c r="T17">
        <f>(накопительные!T17/SUM(накопительные!T$2:T$34))^$B$39</f>
        <v>2.1984019891747664E-3</v>
      </c>
    </row>
    <row r="18" spans="1:20" x14ac:dyDescent="0.25">
      <c r="A18" t="s">
        <v>36</v>
      </c>
      <c r="B18">
        <f>(накопительные!B18/SUM(накопительные!B$2:B$34))^$B$39</f>
        <v>0</v>
      </c>
      <c r="C18">
        <f>(накопительные!C18/SUM(накопительные!C$2:C$34))^$B$39</f>
        <v>0</v>
      </c>
      <c r="D18">
        <f>(накопительные!D18/SUM(накопительные!D$2:D$34))^$B$39</f>
        <v>1.0486577181208056E-3</v>
      </c>
      <c r="E18">
        <f>(накопительные!E18/SUM(накопительные!E$2:E$34))^$B$39</f>
        <v>1.9598620257133899E-3</v>
      </c>
      <c r="F18">
        <f>(накопительные!F18/SUM(накопительные!F$2:F$34))^$B$39</f>
        <v>1.7462891355868779E-3</v>
      </c>
      <c r="G18">
        <f>(накопительные!G18/SUM(накопительные!G$2:G$34))^$B$39</f>
        <v>1.4698934327261272E-3</v>
      </c>
      <c r="H18">
        <f>(накопительные!H18/SUM(накопительные!H$2:H$34))^$B$39</f>
        <v>1.7561697014511503E-3</v>
      </c>
      <c r="I18">
        <f>(накопительные!I18/SUM(накопительные!I$2:I$34))^$B$39</f>
        <v>1.6173653968929557E-3</v>
      </c>
      <c r="J18">
        <f>(накопительные!J18/SUM(накопительные!J$2:J$34))^$B$39</f>
        <v>2.5486301113151677E-3</v>
      </c>
      <c r="K18">
        <f>(накопительные!K18/SUM(накопительные!K$2:K$34))^$B$39</f>
        <v>2.1470746108427259E-3</v>
      </c>
      <c r="L18">
        <f>(накопительные!L18/SUM(накопительные!L$2:L$34))^$B$39</f>
        <v>1.9192232790494195E-3</v>
      </c>
      <c r="M18">
        <f>(накопительные!M18/SUM(накопительные!M$2:M$34))^$B$39</f>
        <v>2.7272038584884224E-3</v>
      </c>
      <c r="N18">
        <f>(накопительные!N18/SUM(накопительные!N$2:N$34))^$B$39</f>
        <v>3.0230745612999229E-3</v>
      </c>
      <c r="O18">
        <f>(накопительные!O18/SUM(накопительные!O$2:O$34))^$B$39</f>
        <v>2.7021891954653893E-3</v>
      </c>
      <c r="P18">
        <f>(накопительные!P18/SUM(накопительные!P$2:P$34))^$B$39</f>
        <v>2.5044512708133591E-3</v>
      </c>
      <c r="Q18">
        <f>(накопительные!Q18/SUM(накопительные!Q$2:Q$34))^$B$39</f>
        <v>2.3176229879230108E-3</v>
      </c>
      <c r="R18">
        <f>(накопительные!R18/SUM(накопительные!R$2:R$34))^$B$39</f>
        <v>2.0807933024465579E-3</v>
      </c>
      <c r="S18">
        <f>(накопительные!S18/SUM(накопительные!S$2:S$34))^$B$39</f>
        <v>2.0081581424537189E-3</v>
      </c>
      <c r="T18">
        <f>(накопительные!T18/SUM(накопительные!T$2:T$34))^$B$39</f>
        <v>2.0164652728292681E-3</v>
      </c>
    </row>
    <row r="19" spans="1:20" x14ac:dyDescent="0.25">
      <c r="A19" t="s">
        <v>37</v>
      </c>
      <c r="B19">
        <f>(накопительные!B19/SUM(накопительные!B$2:B$34))^$B$39</f>
        <v>2.8153153153153152E-3</v>
      </c>
      <c r="C19">
        <f>(накопительные!C19/SUM(накопительные!C$2:C$34))^$B$39</f>
        <v>7.0067264573991038E-4</v>
      </c>
      <c r="D19">
        <f>(накопительные!D19/SUM(накопительные!D$2:D$34))^$B$39</f>
        <v>3.6703020134228191E-3</v>
      </c>
      <c r="E19">
        <f>(накопительные!E19/SUM(накопительные!E$2:E$34))^$B$39</f>
        <v>3.1357792411414232E-3</v>
      </c>
      <c r="F19">
        <f>(накопительные!F19/SUM(накопительные!F$2:F$34))^$B$39</f>
        <v>1.8086566047149807E-2</v>
      </c>
      <c r="G19">
        <f>(накопительные!G19/SUM(накопительные!G$2:G$34))^$B$39</f>
        <v>2.3098325371410568E-2</v>
      </c>
      <c r="H19">
        <f>(накопительные!H19/SUM(накопительные!H$2:H$34))^$B$39</f>
        <v>2.2414271189573894E-2</v>
      </c>
      <c r="I19">
        <f>(накопительные!I19/SUM(накопительные!I$2:I$34))^$B$39</f>
        <v>2.2345179825494787E-2</v>
      </c>
      <c r="J19">
        <f>(накопительные!J19/SUM(накопительные!J$2:J$34))^$B$39</f>
        <v>2.9796484389640571E-2</v>
      </c>
      <c r="K19">
        <f>(накопительные!K19/SUM(накопительные!K$2:K$34))^$B$39</f>
        <v>7.9725932240851227E-2</v>
      </c>
      <c r="L19">
        <f>(накопительные!L19/SUM(накопительные!L$2:L$34))^$B$39</f>
        <v>0.10287601253139905</v>
      </c>
      <c r="M19">
        <f>(накопительные!M19/SUM(накопительные!M$2:M$34))^$B$39</f>
        <v>0.12133531981515619</v>
      </c>
      <c r="N19">
        <f>(накопительные!N19/SUM(накопительные!N$2:N$34))^$B$39</f>
        <v>0.12529226990387571</v>
      </c>
      <c r="O19">
        <f>(накопительные!O19/SUM(накопительные!O$2:O$34))^$B$39</f>
        <v>0.16181468893157977</v>
      </c>
      <c r="P19">
        <f>(накопительные!P19/SUM(накопительные!P$2:P$34))^$B$39</f>
        <v>0.15584339353147195</v>
      </c>
      <c r="Q19">
        <f>(накопительные!Q19/SUM(накопительные!Q$2:Q$34))^$B$39</f>
        <v>0.14548516178094839</v>
      </c>
      <c r="R19">
        <f>(накопительные!R19/SUM(накопительные!R$2:R$34))^$B$39</f>
        <v>0.1306185483215476</v>
      </c>
      <c r="S19">
        <f>(накопительные!S19/SUM(накопительные!S$2:S$34))^$B$39</f>
        <v>0.12668653906495142</v>
      </c>
      <c r="T19">
        <f>(накопительные!T19/SUM(накопительные!T$2:T$34))^$B$39</f>
        <v>0.1225798626377792</v>
      </c>
    </row>
    <row r="20" spans="1:20" x14ac:dyDescent="0.25">
      <c r="A20" t="s">
        <v>38</v>
      </c>
      <c r="B20">
        <f>(накопительные!B20/SUM(накопительные!B$2:B$34))^$B$39</f>
        <v>1.6891891891891891E-3</v>
      </c>
      <c r="C20">
        <f>(накопительные!C20/SUM(накопительные!C$2:C$34))^$B$39</f>
        <v>4.2040358744394616E-4</v>
      </c>
      <c r="D20">
        <f>(накопительные!D20/SUM(накопительные!D$2:D$34))^$B$39</f>
        <v>8.3892617449664449E-4</v>
      </c>
      <c r="E20">
        <f>(накопительные!E20/SUM(накопительные!E$2:E$34))^$B$39</f>
        <v>6.2715584822828471E-4</v>
      </c>
      <c r="F20">
        <f>(накопительные!F20/SUM(накопительные!F$2:F$34))^$B$39</f>
        <v>8.1077709866533615E-4</v>
      </c>
      <c r="G20">
        <f>(накопительные!G20/SUM(накопительные!G$2:G$34))^$B$39</f>
        <v>4.8821460444117793E-3</v>
      </c>
      <c r="H20">
        <f>(накопительные!H20/SUM(накопительные!H$2:H$34))^$B$39</f>
        <v>4.2979942693409734E-3</v>
      </c>
      <c r="I20">
        <f>(накопительные!I20/SUM(накопительные!I$2:I$34))^$B$39</f>
        <v>5.2351564162587778E-3</v>
      </c>
      <c r="J20">
        <f>(накопительные!J20/SUM(накопительные!J$2:J$34))^$B$39</f>
        <v>4.6100221131142012E-3</v>
      </c>
      <c r="K20">
        <f>(накопительные!K20/SUM(накопительные!K$2:K$34))^$B$39</f>
        <v>3.8836790754949312E-3</v>
      </c>
      <c r="L20">
        <f>(накопительные!L20/SUM(накопительные!L$2:L$34))^$B$39</f>
        <v>3.4715362253393916E-3</v>
      </c>
      <c r="M20">
        <f>(накопительные!M20/SUM(накопительные!M$2:M$34))^$B$39</f>
        <v>3.4847604858463167E-3</v>
      </c>
      <c r="N20">
        <f>(накопительные!N20/SUM(накопительные!N$2:N$34))^$B$39</f>
        <v>3.2592522614014788E-3</v>
      </c>
      <c r="O20">
        <f>(накопительные!O20/SUM(накопительные!O$2:O$34))^$B$39</f>
        <v>3.1244062572568562E-3</v>
      </c>
      <c r="P20">
        <f>(накопительные!P20/SUM(накопительные!P$2:P$34))^$B$39</f>
        <v>2.9936019096440934E-3</v>
      </c>
      <c r="Q20">
        <f>(накопительные!Q20/SUM(накопительные!Q$2:Q$34))^$B$39</f>
        <v>2.9513480236832089E-3</v>
      </c>
      <c r="R20">
        <f>(накопительные!R20/SUM(накопительные!R$2:R$34))^$B$39</f>
        <v>2.6497602210842886E-3</v>
      </c>
      <c r="S20">
        <f>(накопительные!S20/SUM(накопительные!S$2:S$34))^$B$39</f>
        <v>2.5572638845309074E-3</v>
      </c>
      <c r="T20">
        <f>(накопительные!T20/SUM(накопительные!T$2:T$34))^$B$39</f>
        <v>2.4713070636930129E-3</v>
      </c>
    </row>
    <row r="21" spans="1:20" x14ac:dyDescent="0.25">
      <c r="A21" t="s">
        <v>39</v>
      </c>
      <c r="B21">
        <f>(накопительные!B21/SUM(накопительные!B$2:B$34))^$B$39</f>
        <v>1.6891891891891889E-2</v>
      </c>
      <c r="C21">
        <f>(накопительные!C21/SUM(накопительные!C$2:C$34))^$B$39</f>
        <v>1.1210762331838566E-2</v>
      </c>
      <c r="D21">
        <f>(накопительные!D21/SUM(накопительные!D$2:D$34))^$B$39</f>
        <v>3.1459731543624164E-2</v>
      </c>
      <c r="E21">
        <f>(накопительные!E21/SUM(накопительные!E$2:E$34))^$B$39</f>
        <v>2.8222013170272814E-2</v>
      </c>
      <c r="F21">
        <f>(накопительные!F21/SUM(накопительные!F$2:F$34))^$B$39</f>
        <v>3.0560059872770363E-2</v>
      </c>
      <c r="G21">
        <f>(накопительные!G21/SUM(накопительные!G$2:G$34))^$B$39</f>
        <v>2.9397868654522544E-2</v>
      </c>
      <c r="H21">
        <f>(накопительные!H21/SUM(накопительные!H$2:H$34))^$B$39</f>
        <v>2.7497920325353538E-2</v>
      </c>
      <c r="I21">
        <f>(накопительные!I21/SUM(накопительные!I$2:I$34))^$B$39</f>
        <v>2.5452223877420726E-2</v>
      </c>
      <c r="J21">
        <f>(накопительные!J21/SUM(накопительные!J$2:J$34))^$B$39</f>
        <v>2.5786139949776996E-2</v>
      </c>
      <c r="K21">
        <f>(накопительные!K21/SUM(накопительные!K$2:K$34))^$B$39</f>
        <v>2.2039089387767986E-2</v>
      </c>
      <c r="L21">
        <f>(накопительные!L21/SUM(накопительные!L$2:L$34))^$B$39</f>
        <v>1.9841381840760914E-2</v>
      </c>
      <c r="M21">
        <f>(накопительные!M21/SUM(накопительные!M$2:M$34))^$B$39</f>
        <v>1.7752076967753341E-2</v>
      </c>
      <c r="N21">
        <f>(накопительные!N21/SUM(накопительные!N$2:N$34))^$B$39</f>
        <v>1.6603292317139421E-2</v>
      </c>
      <c r="O21">
        <f>(накопительные!O21/SUM(накопительные!O$2:O$34))^$B$39</f>
        <v>1.5896472376448735E-2</v>
      </c>
      <c r="P21">
        <f>(накопительные!P21/SUM(накопительные!P$2:P$34))^$B$39</f>
        <v>1.6102839030307771E-2</v>
      </c>
      <c r="Q21">
        <f>(накопительные!Q21/SUM(накопительные!Q$2:Q$34))^$B$39</f>
        <v>1.6350105922613118E-2</v>
      </c>
      <c r="R21">
        <f>(накопительные!R21/SUM(накопительные!R$2:R$34))^$B$39</f>
        <v>1.6304966268389825E-2</v>
      </c>
      <c r="S21">
        <f>(накопительные!S21/SUM(накопительные!S$2:S$34))^$B$39</f>
        <v>1.6363351113900224E-2</v>
      </c>
      <c r="T21">
        <f>(накопительные!T21/SUM(накопительные!T$2:T$34))^$B$39</f>
        <v>1.7632700092484504E-2</v>
      </c>
    </row>
    <row r="22" spans="1:20" x14ac:dyDescent="0.25">
      <c r="A22" t="s">
        <v>40</v>
      </c>
      <c r="B22">
        <f>(накопительные!B22/SUM(накопительные!B$2:B$34))^$B$39</f>
        <v>0</v>
      </c>
      <c r="C22">
        <f>(накопительные!C22/SUM(накопительные!C$2:C$34))^$B$39</f>
        <v>0</v>
      </c>
      <c r="D22">
        <f>(накопительные!D22/SUM(накопительные!D$2:D$34))^$B$39</f>
        <v>0</v>
      </c>
      <c r="E22">
        <f>(накопительные!E22/SUM(накопительные!E$2:E$34))^$B$39</f>
        <v>0</v>
      </c>
      <c r="F22">
        <f>(накопительные!F22/SUM(накопительные!F$2:F$34))^$B$39</f>
        <v>1.2473493825620557E-4</v>
      </c>
      <c r="G22">
        <f>(накопительные!G22/SUM(накопительные!G$2:G$34))^$B$39</f>
        <v>3.6747335818153179E-4</v>
      </c>
      <c r="H22">
        <f>(накопительные!H22/SUM(накопительные!H$2:H$34))^$B$39</f>
        <v>1.2478047878731859E-3</v>
      </c>
      <c r="I22">
        <f>(накопительные!I22/SUM(накопительные!I$2:I$34))^$B$39</f>
        <v>1.1491806767397316E-3</v>
      </c>
      <c r="J22">
        <f>(накопительные!J22/SUM(накопительные!J$2:J$34))^$B$39</f>
        <v>3.2607473483002884E-3</v>
      </c>
      <c r="K22">
        <f>(накопительные!K22/SUM(накопительные!K$2:K$34))^$B$39</f>
        <v>2.746992516813488E-3</v>
      </c>
      <c r="L22">
        <f>(накопительные!L22/SUM(накопительные!L$2:L$34))^$B$39</f>
        <v>2.4554768423132281E-3</v>
      </c>
      <c r="M22">
        <f>(накопительные!M22/SUM(накопительные!M$2:M$34))^$B$39</f>
        <v>2.1969142193378954E-3</v>
      </c>
      <c r="N22">
        <f>(накопительные!N22/SUM(накопительные!N$2:N$34))^$B$39</f>
        <v>2.0547459908835412E-3</v>
      </c>
      <c r="O22">
        <f>(накопительные!O22/SUM(накопительные!O$2:O$34))^$B$39</f>
        <v>1.8366442187928817E-3</v>
      </c>
      <c r="P22">
        <f>(накопительные!P22/SUM(накопительные!P$2:P$34))^$B$39</f>
        <v>1.702244223130955E-3</v>
      </c>
      <c r="Q22">
        <f>(накопительные!Q22/SUM(накопительные!Q$2:Q$34))^$B$39</f>
        <v>1.5752593746039213E-3</v>
      </c>
      <c r="R22">
        <f>(накопительные!R22/SUM(накопительные!R$2:R$34))^$B$39</f>
        <v>1.4142891977566448E-3</v>
      </c>
      <c r="S22">
        <f>(накопительные!S22/SUM(накопительные!S$2:S$34))^$B$39</f>
        <v>1.3649199874490119E-3</v>
      </c>
      <c r="T22">
        <f>(накопительные!T22/SUM(накопительные!T$2:T$34))^$B$39</f>
        <v>1.3190411935048597E-3</v>
      </c>
    </row>
    <row r="23" spans="1:20" x14ac:dyDescent="0.25">
      <c r="A23" t="s">
        <v>41</v>
      </c>
      <c r="B23">
        <f>(накопительные!B23/SUM(накопительные!B$2:B$34))^$B$39</f>
        <v>0</v>
      </c>
      <c r="C23">
        <f>(накопительные!C23/SUM(накопительные!C$2:C$34))^$B$39</f>
        <v>5.6053811659192831E-3</v>
      </c>
      <c r="D23">
        <f>(накопительные!D23/SUM(накопительные!D$2:D$34))^$B$39</f>
        <v>6.2919463087248344E-3</v>
      </c>
      <c r="E23">
        <f>(накопительные!E23/SUM(накопительные!E$2:E$34))^$B$39</f>
        <v>9.4073377234242719E-3</v>
      </c>
      <c r="F23">
        <f>(накопительные!F23/SUM(накопительные!F$2:F$34))^$B$39</f>
        <v>7.4840962953723351E-3</v>
      </c>
      <c r="G23">
        <f>(накопительные!G23/SUM(накопительные!G$2:G$34))^$B$39</f>
        <v>6.8245052233713056E-3</v>
      </c>
      <c r="H23">
        <f>(накопительные!H23/SUM(накопительные!H$2:H$34))^$B$39</f>
        <v>6.9322488215176996E-3</v>
      </c>
      <c r="I23">
        <f>(накопительные!I23/SUM(накопительные!I$2:I$34))^$B$39</f>
        <v>6.8099595658650779E-3</v>
      </c>
      <c r="J23">
        <f>(накопительные!J23/SUM(накопительные!J$2:J$34))^$B$39</f>
        <v>6.1092162962407721E-3</v>
      </c>
      <c r="K23">
        <f>(накопительные!K23/SUM(накопительные!K$2:K$34))^$B$39</f>
        <v>5.1466641406965356E-3</v>
      </c>
      <c r="L23">
        <f>(накопительные!L23/SUM(накопительные!L$2:L$34))^$B$39</f>
        <v>4.6004910953684631E-3</v>
      </c>
      <c r="M23">
        <f>(накопительные!M23/SUM(накопительные!M$2:M$34))^$B$39</f>
        <v>4.1160576753112308E-3</v>
      </c>
      <c r="N23">
        <f>(накопительные!N23/SUM(накопительные!N$2:N$34))^$B$39</f>
        <v>3.849696511655371E-3</v>
      </c>
      <c r="O23">
        <f>(накопительные!O23/SUM(накопительные!O$2:O$34))^$B$39</f>
        <v>3.4410690536004571E-3</v>
      </c>
      <c r="P23">
        <f>(накопительные!P23/SUM(накопительные!P$2:P$34))^$B$39</f>
        <v>3.1892621651763878E-3</v>
      </c>
      <c r="Q23">
        <f>(накопительные!Q23/SUM(накопительные!Q$2:Q$34))^$B$39</f>
        <v>2.9513480236832094E-3</v>
      </c>
      <c r="R23">
        <f>(накопительные!R23/SUM(накопительные!R$2:R$34))^$B$39</f>
        <v>2.649760221084289E-3</v>
      </c>
      <c r="S23">
        <f>(накопительные!S23/SUM(накопительные!S$2:S$34))^$B$39</f>
        <v>2.5572638845309079E-3</v>
      </c>
      <c r="T23">
        <f>(накопительные!T23/SUM(накопительные!T$2:T$34))^$B$39</f>
        <v>2.9261488545567582E-3</v>
      </c>
    </row>
    <row r="24" spans="1:20" x14ac:dyDescent="0.25">
      <c r="A24" t="s">
        <v>42</v>
      </c>
      <c r="B24">
        <f>(накопительные!B24/SUM(накопительные!B$2:B$34))^$B$39</f>
        <v>0</v>
      </c>
      <c r="C24">
        <f>(накопительные!C24/SUM(накопительные!C$2:C$34))^$B$39</f>
        <v>0</v>
      </c>
      <c r="D24">
        <f>(накопительные!D24/SUM(накопительные!D$2:D$34))^$B$39</f>
        <v>0</v>
      </c>
      <c r="E24">
        <f>(накопительные!E24/SUM(накопительные!E$2:E$34))^$B$39</f>
        <v>0</v>
      </c>
      <c r="F24">
        <f>(накопительные!F24/SUM(накопительные!F$2:F$34))^$B$39</f>
        <v>2.619433703380317E-2</v>
      </c>
      <c r="G24">
        <f>(накопительные!G24/SUM(накопительные!G$2:G$34))^$B$39</f>
        <v>4.9346422384377128E-2</v>
      </c>
      <c r="H24">
        <f>(накопительные!H24/SUM(накопительные!H$2:H$34))^$B$39</f>
        <v>4.3442092614844247E-2</v>
      </c>
      <c r="I24">
        <f>(накопительные!I24/SUM(накопительные!I$2:I$34))^$B$39</f>
        <v>6.682272824005106E-2</v>
      </c>
      <c r="J24">
        <f>(накопительные!J24/SUM(накопительные!J$2:J$34))^$B$39</f>
        <v>6.2216558599752628E-2</v>
      </c>
      <c r="K24">
        <f>(накопительные!K24/SUM(накопительные!K$2:K$34))^$B$39</f>
        <v>5.2413880205866542E-2</v>
      </c>
      <c r="L24">
        <f>(накопительные!L24/SUM(накопительные!L$2:L$34))^$B$39</f>
        <v>4.6851627106206419E-2</v>
      </c>
      <c r="M24">
        <f>(накопительные!M24/SUM(накопительные!M$2:M$34))^$B$39</f>
        <v>4.1918133380470186E-2</v>
      </c>
      <c r="N24">
        <f>(накопительные!N24/SUM(накопительные!N$2:N$34))^$B$39</f>
        <v>3.920549821685837E-2</v>
      </c>
      <c r="O24">
        <f>(накопительные!O24/SUM(накопительные!O$2:O$34))^$B$39</f>
        <v>3.5044016128691763E-2</v>
      </c>
      <c r="P24">
        <f>(накопительные!P24/SUM(накопительные!P$2:P$34))^$B$39</f>
        <v>3.2479602418360745E-2</v>
      </c>
      <c r="Q24">
        <f>(накопительные!Q24/SUM(накопительные!Q$2:Q$34))^$B$39</f>
        <v>3.0056673124626541E-2</v>
      </c>
      <c r="R24">
        <f>(накопительные!R24/SUM(накопительные!R$2:R$34))^$B$39</f>
        <v>2.7472974071364707E-2</v>
      </c>
      <c r="S24">
        <f>(накопительные!S24/SUM(накопительные!S$2:S$34))^$B$39</f>
        <v>2.6513962974584252E-2</v>
      </c>
      <c r="T24">
        <f>(накопительные!T24/SUM(накопительные!T$2:T$34))^$B$39</f>
        <v>2.5622754218657614E-2</v>
      </c>
    </row>
    <row r="25" spans="1:20" x14ac:dyDescent="0.25">
      <c r="A25" t="s">
        <v>43</v>
      </c>
      <c r="B25">
        <f>(накопительные!B25/SUM(накопительные!B$2:B$34))^$B$39</f>
        <v>2.8153153153153152E-3</v>
      </c>
      <c r="C25">
        <f>(накопительные!C25/SUM(накопительные!C$2:C$34))^$B$39</f>
        <v>7.707399103139014E-3</v>
      </c>
      <c r="D25">
        <f>(накопительные!D25/SUM(накопительные!D$2:D$34))^$B$39</f>
        <v>1.1010906040268458E-2</v>
      </c>
      <c r="E25">
        <f>(накопительные!E25/SUM(накопительные!E$2:E$34))^$B$39</f>
        <v>9.0153653182815947E-3</v>
      </c>
      <c r="F25">
        <f>(накопительные!F25/SUM(накопительные!F$2:F$34))^$B$39</f>
        <v>7.4840962953723351E-3</v>
      </c>
      <c r="G25">
        <f>(накопительные!G25/SUM(накопительные!G$2:G$34))^$B$39</f>
        <v>6.8245052233713056E-3</v>
      </c>
      <c r="H25">
        <f>(накопительные!H25/SUM(накопительные!H$2:H$34))^$B$39</f>
        <v>6.0079489786486733E-3</v>
      </c>
      <c r="I25">
        <f>(накопительные!I25/SUM(накопительные!I$2:I$34))^$B$39</f>
        <v>5.533092147265376E-3</v>
      </c>
      <c r="J25">
        <f>(накопительные!J25/SUM(накопительные!J$2:J$34))^$B$39</f>
        <v>5.6219781867246363E-3</v>
      </c>
      <c r="K25">
        <f>(накопительные!K25/SUM(накопительные!K$2:K$34))^$B$39</f>
        <v>4.7361939945060145E-3</v>
      </c>
      <c r="L25">
        <f>(накопительные!L25/SUM(накопительные!L$2:L$34))^$B$39</f>
        <v>4.2335807626090148E-3</v>
      </c>
      <c r="M25">
        <f>(накопительные!M25/SUM(накопительные!M$2:M$34))^$B$39</f>
        <v>3.7877831367894759E-3</v>
      </c>
      <c r="N25">
        <f>(накопительные!N25/SUM(накопительные!N$2:N$34))^$B$39</f>
        <v>3.5426655015233476E-3</v>
      </c>
      <c r="O25">
        <f>(накопительные!O25/SUM(накопительные!O$2:O$34))^$B$39</f>
        <v>3.1666279634360033E-3</v>
      </c>
      <c r="P25">
        <f>(накопительные!P25/SUM(накопительные!P$2:P$34))^$B$39</f>
        <v>2.9349038329844058E-3</v>
      </c>
      <c r="Q25">
        <f>(накопительные!Q25/SUM(накопительные!Q$2:Q$34))^$B$39</f>
        <v>2.7159644389722786E-3</v>
      </c>
      <c r="R25">
        <f>(накопительные!R25/SUM(накопительные!R$2:R$34))^$B$39</f>
        <v>2.4384296513045604E-3</v>
      </c>
      <c r="S25">
        <f>(накопительные!S25/SUM(накопительные!S$2:S$34))^$B$39</f>
        <v>2.353310323187952E-3</v>
      </c>
      <c r="T25">
        <f>(накопительные!T25/SUM(накопительные!T$2:T$34))^$B$39</f>
        <v>2.2742089543187237E-3</v>
      </c>
    </row>
    <row r="26" spans="1:20" x14ac:dyDescent="0.25">
      <c r="A26" t="s">
        <v>44</v>
      </c>
      <c r="B26">
        <f>(накопительные!B26/SUM(накопительные!B$2:B$34))^$B$39</f>
        <v>0.14076576576576574</v>
      </c>
      <c r="C26">
        <f>(накопительные!C26/SUM(накопительные!C$2:C$34))^$B$39</f>
        <v>5.1849775784753367E-2</v>
      </c>
      <c r="D26">
        <f>(накопительные!D26/SUM(накопительные!D$2:D$34))^$B$39</f>
        <v>5.1384228187919476E-2</v>
      </c>
      <c r="E26">
        <f>(накопительные!E26/SUM(накопительные!E$2:E$34))^$B$39</f>
        <v>4.9388523047977424E-2</v>
      </c>
      <c r="F26">
        <f>(накопительные!F26/SUM(накопительные!F$2:F$34))^$B$39</f>
        <v>7.6711987027566431E-2</v>
      </c>
      <c r="G26">
        <f>(накопительные!G26/SUM(накопительные!G$2:G$34))^$B$39</f>
        <v>9.5543073127198272E-2</v>
      </c>
      <c r="H26">
        <f>(накопительные!H26/SUM(накопительные!H$2:H$34))^$B$39</f>
        <v>8.919493483686107E-2</v>
      </c>
      <c r="I26">
        <f>(накопительные!I26/SUM(накопительные!I$2:I$34))^$B$39</f>
        <v>8.4060438391147047E-2</v>
      </c>
      <c r="J26">
        <f>(накопительные!J26/SUM(накопительные!J$2:J$34))^$B$39</f>
        <v>9.0888647352048282E-2</v>
      </c>
      <c r="K26">
        <f>(накопительные!K26/SUM(накопительные!K$2:K$34))^$B$39</f>
        <v>8.5409365034258458E-2</v>
      </c>
      <c r="L26">
        <f>(накопительные!L26/SUM(накопительные!L$2:L$34))^$B$39</f>
        <v>7.6345573085715893E-2</v>
      </c>
      <c r="M26">
        <f>(накопительные!M26/SUM(накопительные!M$2:M$34))^$B$39</f>
        <v>6.8306355900103546E-2</v>
      </c>
      <c r="N26">
        <f>(накопительные!N26/SUM(накопительные!N$2:N$34))^$B$39</f>
        <v>9.1282681089251583E-2</v>
      </c>
      <c r="O26">
        <f>(накопительные!O26/SUM(накопительные!O$2:O$34))^$B$39</f>
        <v>9.3626633452257829E-2</v>
      </c>
      <c r="P26">
        <f>(накопительные!P26/SUM(накопительные!P$2:P$34))^$B$39</f>
        <v>0.12395077187970807</v>
      </c>
      <c r="Q26">
        <f>(накопительные!Q26/SUM(накопительные!Q$2:Q$34))^$B$39</f>
        <v>0.16449691285375434</v>
      </c>
      <c r="R26">
        <f>(накопительные!R26/SUM(накопительные!R$2:R$34))^$B$39</f>
        <v>0.21043647890758355</v>
      </c>
      <c r="S26">
        <f>(накопительные!S26/SUM(накопительные!S$2:S$34))^$B$39</f>
        <v>0.21854408534672112</v>
      </c>
      <c r="T26">
        <f>(накопительные!T26/SUM(накопительные!T$2:T$34))^$B$39</f>
        <v>0.22196279394150742</v>
      </c>
    </row>
    <row r="27" spans="1:20" x14ac:dyDescent="0.25">
      <c r="A27" t="s">
        <v>45</v>
      </c>
      <c r="B27">
        <f>(накопительные!B27/SUM(накопительные!B$2:B$34))^$B$39</f>
        <v>0</v>
      </c>
      <c r="C27">
        <f>(накопительные!C27/SUM(накопительные!C$2:C$34))^$B$39</f>
        <v>0</v>
      </c>
      <c r="D27">
        <f>(накопительные!D27/SUM(накопительные!D$2:D$34))^$B$39</f>
        <v>0</v>
      </c>
      <c r="E27">
        <f>(накопительные!E27/SUM(накопительные!E$2:E$34))^$B$39</f>
        <v>0</v>
      </c>
      <c r="F27">
        <f>(накопительные!F27/SUM(накопительные!F$2:F$34))^$B$39</f>
        <v>3.1183734564051392E-3</v>
      </c>
      <c r="G27">
        <f>(накопительные!G27/SUM(накопительные!G$2:G$34))^$B$39</f>
        <v>6.0370623129823069E-3</v>
      </c>
      <c r="H27">
        <f>(накопительные!H27/SUM(накопительные!H$2:H$34))^$B$39</f>
        <v>1.1322673075145576E-2</v>
      </c>
      <c r="I27">
        <f>(накопительные!I27/SUM(накопительные!I$2:I$34))^$B$39</f>
        <v>1.04277505852309E-2</v>
      </c>
      <c r="J27">
        <f>(накопительные!J27/SUM(накопительные!J$2:J$34))^$B$39</f>
        <v>1.105655710055845E-2</v>
      </c>
      <c r="K27">
        <f>(накопительные!K27/SUM(накопительные!K$2:K$34))^$B$39</f>
        <v>9.314514855861827E-3</v>
      </c>
      <c r="L27">
        <f>(накопительные!L27/SUM(накопительные!L$2:L$34))^$B$39</f>
        <v>9.1727583189861964E-3</v>
      </c>
      <c r="M27">
        <f>(накопительные!M27/SUM(накопительные!M$2:M$34))^$B$39</f>
        <v>1.8055099618696498E-2</v>
      </c>
      <c r="N27">
        <f>(накопительные!N27/SUM(накопительные!N$2:N$34))^$B$39</f>
        <v>2.27911480598002E-2</v>
      </c>
      <c r="O27">
        <f>(накопительные!O27/SUM(накопительные!O$2:O$34))^$B$39</f>
        <v>2.2060841478604154E-2</v>
      </c>
      <c r="P27">
        <f>(накопительные!P27/SUM(накопительные!P$2:P$34))^$B$39</f>
        <v>2.0446496703124692E-2</v>
      </c>
      <c r="Q27">
        <f>(накопительные!Q27/SUM(накопительные!Q$2:Q$34))^$B$39</f>
        <v>1.8921218924840204E-2</v>
      </c>
      <c r="R27">
        <f>(накопительные!R27/SUM(накопительные!R$2:R$34))^$B$39</f>
        <v>1.8288222384784201E-2</v>
      </c>
      <c r="S27">
        <f>(накопительные!S27/SUM(накопительные!S$2:S$34))^$B$39</f>
        <v>1.8277376843426427E-2</v>
      </c>
      <c r="T27">
        <f>(накопительные!T27/SUM(накопительные!T$2:T$34))^$B$39</f>
        <v>1.9330776111709153E-2</v>
      </c>
    </row>
    <row r="28" spans="1:20" x14ac:dyDescent="0.25">
      <c r="A28" t="s">
        <v>46</v>
      </c>
      <c r="B28">
        <f>(накопительные!B28/SUM(накопительные!B$2:B$34))^$B$39</f>
        <v>0</v>
      </c>
      <c r="C28">
        <f>(накопительные!C28/SUM(накопительные!C$2:C$34))^$B$39</f>
        <v>0</v>
      </c>
      <c r="D28">
        <f>(накопительные!D28/SUM(накопительные!D$2:D$34))^$B$39</f>
        <v>0</v>
      </c>
      <c r="E28">
        <f>(накопительные!E28/SUM(накопительные!E$2:E$34))^$B$39</f>
        <v>0</v>
      </c>
      <c r="F28">
        <f>(накопительные!F28/SUM(накопительные!F$2:F$34))^$B$39</f>
        <v>0</v>
      </c>
      <c r="G28">
        <f>(накопительные!G28/SUM(накопительные!G$2:G$34))^$B$39</f>
        <v>2.6248097012966556E-4</v>
      </c>
      <c r="H28">
        <f>(накопительные!H28/SUM(накопительные!H$2:H$34))^$B$39</f>
        <v>6.9322488215177002E-4</v>
      </c>
      <c r="I28">
        <f>(накопительные!I28/SUM(накопительные!I$2:I$34))^$B$39</f>
        <v>6.3843370929985105E-4</v>
      </c>
      <c r="J28">
        <f>(накопительные!J28/SUM(накопительные!J$2:J$34))^$B$39</f>
        <v>5.6219781867246365E-4</v>
      </c>
      <c r="K28">
        <f>(накопительные!K28/SUM(накопительные!K$2:K$34))^$B$39</f>
        <v>4.7361939945060144E-4</v>
      </c>
      <c r="L28">
        <f>(накопительные!L28/SUM(накопительные!L$2:L$34))^$B$39</f>
        <v>4.2335807626090144E-4</v>
      </c>
      <c r="M28">
        <f>(накопительные!M28/SUM(накопительные!M$2:M$34))^$B$39</f>
        <v>3.7877831367894759E-4</v>
      </c>
      <c r="N28">
        <f>(накопительные!N28/SUM(накопительные!N$2:N$34))^$B$39</f>
        <v>3.5426655015233477E-4</v>
      </c>
      <c r="O28">
        <f>(накопительные!O28/SUM(накопительные!O$2:O$34))^$B$39</f>
        <v>3.1666279634360033E-4</v>
      </c>
      <c r="P28">
        <f>(накопительные!P28/SUM(накопительные!P$2:P$34))^$B$39</f>
        <v>2.9349038329844061E-4</v>
      </c>
      <c r="Q28">
        <f>(накопительные!Q28/SUM(накопительные!Q$2:Q$34))^$B$39</f>
        <v>2.7159644389722787E-4</v>
      </c>
      <c r="R28">
        <f>(накопительные!R28/SUM(накопительные!R$2:R$34))^$B$39</f>
        <v>2.4384296513045602E-4</v>
      </c>
      <c r="S28">
        <f>(накопительные!S28/SUM(накопительные!S$2:S$34))^$B$39</f>
        <v>2.3533103231879518E-4</v>
      </c>
      <c r="T28">
        <f>(накопительные!T28/SUM(накопительные!T$2:T$34))^$B$39</f>
        <v>2.2742089543187238E-4</v>
      </c>
    </row>
    <row r="29" spans="1:20" x14ac:dyDescent="0.25">
      <c r="A29" t="s">
        <v>47</v>
      </c>
      <c r="B29">
        <f>(накопительные!B29/SUM(накопительные!B$2:B$34))^$B$39</f>
        <v>0</v>
      </c>
      <c r="C29">
        <f>(накопительные!C29/SUM(накопительные!C$2:C$34))^$B$39</f>
        <v>0</v>
      </c>
      <c r="D29">
        <f>(накопительные!D29/SUM(накопительные!D$2:D$34))^$B$39</f>
        <v>0</v>
      </c>
      <c r="E29">
        <f>(накопительные!E29/SUM(накопительные!E$2:E$34))^$B$39</f>
        <v>0</v>
      </c>
      <c r="F29">
        <f>(накопительные!F29/SUM(накопительные!F$2:F$34))^$B$39</f>
        <v>1.2473493825620557E-4</v>
      </c>
      <c r="G29">
        <f>(накопительные!G29/SUM(накопительные!G$2:G$34))^$B$39</f>
        <v>3.6747335818153179E-4</v>
      </c>
      <c r="H29">
        <f>(накопительные!H29/SUM(накопительные!H$2:H$34))^$B$39</f>
        <v>3.235049450041593E-4</v>
      </c>
      <c r="I29">
        <f>(накопительные!I29/SUM(накопительные!I$2:I$34))^$B$39</f>
        <v>2.0004256224728663E-3</v>
      </c>
      <c r="J29">
        <f>(накопительные!J29/SUM(накопительные!J$2:J$34))^$B$39</f>
        <v>1.7615531651737192E-3</v>
      </c>
      <c r="K29">
        <f>(накопительные!K29/SUM(накопительные!K$2:K$34))^$B$39</f>
        <v>1.4840074516118843E-3</v>
      </c>
      <c r="L29">
        <f>(накопительные!L29/SUM(накопительные!L$2:L$34))^$B$39</f>
        <v>1.3265219722841577E-3</v>
      </c>
      <c r="M29">
        <f>(накопительные!M29/SUM(накопительные!M$2:M$34))^$B$39</f>
        <v>1.1868387161940357E-3</v>
      </c>
      <c r="N29">
        <f>(накопительные!N29/SUM(накопительные!N$2:N$34))^$B$39</f>
        <v>1.1100351904773154E-3</v>
      </c>
      <c r="O29">
        <f>(накопительные!O29/SUM(накопительные!O$2:O$34))^$B$39</f>
        <v>9.9221009520994766E-4</v>
      </c>
      <c r="P29">
        <f>(накопительные!P29/SUM(накопительные!P$2:P$34))^$B$39</f>
        <v>9.1960320100178039E-4</v>
      </c>
      <c r="Q29">
        <f>(накопительные!Q29/SUM(накопительные!Q$2:Q$34))^$B$39</f>
        <v>8.5100219087798053E-4</v>
      </c>
      <c r="R29">
        <f>(накопительные!R29/SUM(накопительные!R$2:R$34))^$B$39</f>
        <v>7.6404129074209546E-4</v>
      </c>
      <c r="S29">
        <f>(накопительные!S29/SUM(накопительные!S$2:S$34))^$B$39</f>
        <v>7.373705679322249E-4</v>
      </c>
      <c r="T29">
        <f>(накопительные!T29/SUM(накопительные!T$2:T$34))^$B$39</f>
        <v>7.1258547235320002E-4</v>
      </c>
    </row>
    <row r="30" spans="1:20" x14ac:dyDescent="0.25">
      <c r="A30" t="s">
        <v>48</v>
      </c>
      <c r="B30">
        <f>(накопительные!B30/SUM(накопительные!B$2:B$34))^$B$39</f>
        <v>0</v>
      </c>
      <c r="C30">
        <f>(накопительные!C30/SUM(накопительные!C$2:C$34))^$B$39</f>
        <v>4.2040358744394619E-3</v>
      </c>
      <c r="D30">
        <f>(накопительные!D30/SUM(накопительные!D$2:D$34))^$B$39</f>
        <v>3.1459731543624163E-3</v>
      </c>
      <c r="E30">
        <f>(накопительные!E30/SUM(накопительные!E$2:E$34))^$B$39</f>
        <v>7.8394481028535596E-3</v>
      </c>
      <c r="F30">
        <f>(накопительные!F30/SUM(накопительные!F$2:F$34))^$B$39</f>
        <v>6.2367469128102784E-3</v>
      </c>
      <c r="G30">
        <f>(накопительные!G30/SUM(накопительные!G$2:G$34))^$B$39</f>
        <v>5.2496194025933108E-3</v>
      </c>
      <c r="H30">
        <f>(накопительные!H30/SUM(накопительные!H$2:H$34))^$B$39</f>
        <v>4.6214992143451322E-3</v>
      </c>
      <c r="I30">
        <f>(накопительные!I30/SUM(накопительные!I$2:I$34))^$B$39</f>
        <v>4.2562247286656724E-3</v>
      </c>
      <c r="J30">
        <f>(накопительные!J30/SUM(накопительные!J$2:J$34))^$B$39</f>
        <v>3.7479854578164238E-3</v>
      </c>
      <c r="K30">
        <f>(накопительные!K30/SUM(накопительные!K$2:K$34))^$B$39</f>
        <v>3.1574626630040091E-3</v>
      </c>
      <c r="L30">
        <f>(накопительные!L30/SUM(накопительные!L$2:L$34))^$B$39</f>
        <v>2.822387175072676E-3</v>
      </c>
      <c r="M30">
        <f>(накопительные!M30/SUM(накопительные!M$2:M$34))^$B$39</f>
        <v>2.5251887578596499E-3</v>
      </c>
      <c r="N30">
        <f>(накопительные!N30/SUM(накопительные!N$2:N$34))^$B$39</f>
        <v>2.3617770010155646E-3</v>
      </c>
      <c r="O30">
        <f>(накопительные!O30/SUM(накопительные!O$2:O$34))^$B$39</f>
        <v>2.1110853089573354E-3</v>
      </c>
      <c r="P30">
        <f>(накопительные!P30/SUM(накопительные!P$2:P$34))^$B$39</f>
        <v>1.9566025553229369E-3</v>
      </c>
      <c r="Q30">
        <f>(накопительные!Q30/SUM(накопительные!Q$2:Q$34))^$B$39</f>
        <v>1.8106429593148521E-3</v>
      </c>
      <c r="R30">
        <f>(накопительные!R30/SUM(накопительные!R$2:R$34))^$B$39</f>
        <v>1.6256197675363732E-3</v>
      </c>
      <c r="S30">
        <f>(накопительные!S30/SUM(накопительные!S$2:S$34))^$B$39</f>
        <v>1.5688735487919677E-3</v>
      </c>
      <c r="T30">
        <f>(накопительные!T30/SUM(накопительные!T$2:T$34))^$B$39</f>
        <v>1.516139302879149E-3</v>
      </c>
    </row>
    <row r="31" spans="1:20" x14ac:dyDescent="0.25">
      <c r="A31" t="s">
        <v>49</v>
      </c>
      <c r="B31">
        <f>(накопительные!B31/SUM(накопительные!B$2:B$34))^$B$39</f>
        <v>0</v>
      </c>
      <c r="C31">
        <f>(накопительные!C31/SUM(накопительные!C$2:C$34))^$B$39</f>
        <v>0</v>
      </c>
      <c r="D31">
        <f>(накопительные!D31/SUM(накопительные!D$2:D$34))^$B$39</f>
        <v>0</v>
      </c>
      <c r="E31">
        <f>(накопительные!E31/SUM(накопительные!E$2:E$34))^$B$39</f>
        <v>0</v>
      </c>
      <c r="F31">
        <f>(накопительные!F31/SUM(накопительные!F$2:F$34))^$B$39</f>
        <v>1.2473493825620556E-3</v>
      </c>
      <c r="G31">
        <f>(накопительные!G31/SUM(накопительные!G$2:G$34))^$B$39</f>
        <v>3.6747335818153176E-3</v>
      </c>
      <c r="H31">
        <f>(накопительные!H31/SUM(накопительные!H$2:H$34))^$B$39</f>
        <v>3.6971993714761055E-3</v>
      </c>
      <c r="I31">
        <f>(накопительные!I31/SUM(накопительные!I$2:I$34))^$B$39</f>
        <v>3.4049797829325381E-3</v>
      </c>
      <c r="J31">
        <f>(накопительные!J31/SUM(накопительные!J$2:J$34))^$B$39</f>
        <v>2.9983883662531388E-3</v>
      </c>
      <c r="K31">
        <f>(накопительные!K31/SUM(накопительные!K$2:K$34))^$B$39</f>
        <v>2.5259701304032071E-3</v>
      </c>
      <c r="L31">
        <f>(накопительные!L31/SUM(накопительные!L$2:L$34))^$B$39</f>
        <v>2.2579097400581404E-3</v>
      </c>
      <c r="M31">
        <f>(накопительные!M31/SUM(накопительные!M$2:M$34))^$B$39</f>
        <v>2.0201510062877199E-3</v>
      </c>
      <c r="N31">
        <f>(накопительные!N31/SUM(накопительные!N$2:N$34))^$B$39</f>
        <v>1.8894216008124515E-3</v>
      </c>
      <c r="O31">
        <f>(накопительные!O31/SUM(накопительные!O$2:O$34))^$B$39</f>
        <v>1.6888682471658681E-3</v>
      </c>
      <c r="P31">
        <f>(накопительные!P31/SUM(накопительные!P$2:P$34))^$B$39</f>
        <v>1.5652820442583495E-3</v>
      </c>
      <c r="Q31">
        <f>(накопительные!Q31/SUM(накопительные!Q$2:Q$34))^$B$39</f>
        <v>1.4485143674518816E-3</v>
      </c>
      <c r="R31">
        <f>(накопительные!R31/SUM(накопительные!R$2:R$34))^$B$39</f>
        <v>1.3004958140290985E-3</v>
      </c>
      <c r="S31">
        <f>(накопительные!S31/SUM(накопительные!S$2:S$34))^$B$39</f>
        <v>1.255098839033574E-3</v>
      </c>
      <c r="T31">
        <f>(накопительные!T31/SUM(накопительные!T$2:T$34))^$B$39</f>
        <v>1.2129114423033191E-3</v>
      </c>
    </row>
    <row r="32" spans="1:20" x14ac:dyDescent="0.25">
      <c r="A32" t="s">
        <v>50</v>
      </c>
      <c r="B32">
        <f>(накопительные!B32/SUM(накопительные!B$2:B$34))^$B$39</f>
        <v>0</v>
      </c>
      <c r="C32">
        <f>(накопительные!C32/SUM(накопительные!C$2:C$34))^$B$39</f>
        <v>0</v>
      </c>
      <c r="D32">
        <f>(накопительные!D32/SUM(накопительные!D$2:D$34))^$B$39</f>
        <v>0</v>
      </c>
      <c r="E32">
        <f>(накопительные!E32/SUM(накопительные!E$2:E$34))^$B$39</f>
        <v>0</v>
      </c>
      <c r="F32">
        <f>(накопительные!F32/SUM(накопительные!F$2:F$34))^$B$39</f>
        <v>0</v>
      </c>
      <c r="G32">
        <f>(накопительные!G32/SUM(накопительные!G$2:G$34))^$B$39</f>
        <v>0</v>
      </c>
      <c r="H32">
        <f>(накопительные!H32/SUM(накопительные!H$2:H$34))^$B$39</f>
        <v>0</v>
      </c>
      <c r="I32">
        <f>(накопительные!I32/SUM(накопительные!I$2:I$34))^$B$39</f>
        <v>0</v>
      </c>
      <c r="J32">
        <f>(накопительные!J32/SUM(накопительные!J$2:J$34))^$B$39</f>
        <v>0</v>
      </c>
      <c r="K32">
        <f>(накопительные!K32/SUM(накопительные!K$2:K$34))^$B$39</f>
        <v>0</v>
      </c>
      <c r="L32">
        <f>(накопительные!L32/SUM(накопительные!L$2:L$34))^$B$39</f>
        <v>0</v>
      </c>
      <c r="M32">
        <f>(накопительные!M32/SUM(накопительные!M$2:M$34))^$B$39</f>
        <v>0</v>
      </c>
      <c r="N32">
        <f>(накопительные!N32/SUM(накопительные!N$2:N$34))^$B$39</f>
        <v>0</v>
      </c>
      <c r="O32">
        <f>(накопительные!O32/SUM(накопительные!O$2:O$34))^$B$39</f>
        <v>0</v>
      </c>
      <c r="P32">
        <f>(накопительные!P32/SUM(накопительные!P$2:P$34))^$B$39</f>
        <v>3.9132051106458742E-4</v>
      </c>
      <c r="Q32">
        <f>(накопительные!Q32/SUM(накопительные!Q$2:Q$34))^$B$39</f>
        <v>3.6212859186297044E-4</v>
      </c>
      <c r="R32">
        <f>(накопительные!R32/SUM(накопительные!R$2:R$34))^$B$39</f>
        <v>3.2512395350727468E-4</v>
      </c>
      <c r="S32">
        <f>(накопительные!S32/SUM(накопительные!S$2:S$34))^$B$39</f>
        <v>3.1377470975839356E-4</v>
      </c>
      <c r="T32">
        <f>(накопительные!T32/SUM(накопительные!T$2:T$34))^$B$39</f>
        <v>3.0322786057582982E-4</v>
      </c>
    </row>
    <row r="33" spans="1:20" x14ac:dyDescent="0.25">
      <c r="A33" t="s">
        <v>51</v>
      </c>
      <c r="B33">
        <f>(накопительные!B33/SUM(накопительные!B$2:B$34))^$B$39</f>
        <v>0</v>
      </c>
      <c r="C33">
        <f>(накопительные!C33/SUM(накопительные!C$2:C$34))^$B$39</f>
        <v>0</v>
      </c>
      <c r="D33">
        <f>(накопительные!D33/SUM(накопительные!D$2:D$34))^$B$39</f>
        <v>0</v>
      </c>
      <c r="E33">
        <f>(накопительные!E33/SUM(накопительные!E$2:E$34))^$B$39</f>
        <v>0</v>
      </c>
      <c r="F33">
        <f>(накопительные!F33/SUM(накопительные!F$2:F$34))^$B$39</f>
        <v>0</v>
      </c>
      <c r="G33">
        <f>(накопительные!G33/SUM(накопительные!G$2:G$34))^$B$39</f>
        <v>0</v>
      </c>
      <c r="H33">
        <f>(накопительные!H33/SUM(накопительные!H$2:H$34))^$B$39</f>
        <v>0</v>
      </c>
      <c r="I33">
        <f>(накопительные!I33/SUM(накопительные!I$2:I$34))^$B$39</f>
        <v>0</v>
      </c>
      <c r="J33">
        <f>(накопительные!J33/SUM(накопительные!J$2:J$34))^$B$39</f>
        <v>0</v>
      </c>
      <c r="K33">
        <f>(накопительные!K33/SUM(накопительные!K$2:K$34))^$B$39</f>
        <v>0</v>
      </c>
      <c r="L33">
        <f>(накопительные!L33/SUM(накопительные!L$2:L$34))^$B$39</f>
        <v>0</v>
      </c>
      <c r="M33">
        <f>(накопительные!M33/SUM(накопительные!M$2:M$34))^$B$39</f>
        <v>0</v>
      </c>
      <c r="N33">
        <f>(накопительные!N33/SUM(накопительные!N$2:N$34))^$B$39</f>
        <v>0</v>
      </c>
      <c r="O33">
        <f>(накопительные!O33/SUM(накопительные!O$2:O$34))^$B$39</f>
        <v>0</v>
      </c>
      <c r="P33">
        <f>(накопительные!P33/SUM(накопительные!P$2:P$34))^$B$39</f>
        <v>1.1739615331937622E-3</v>
      </c>
      <c r="Q33">
        <f>(накопительные!Q33/SUM(накопительные!Q$2:Q$34))^$B$39</f>
        <v>1.0863857755889113E-3</v>
      </c>
      <c r="R33">
        <f>(накопительные!R33/SUM(накопительные!R$2:R$34))^$B$39</f>
        <v>9.7537186052182399E-4</v>
      </c>
      <c r="S33">
        <f>(накопительные!S33/SUM(накопительные!S$2:S$34))^$B$39</f>
        <v>9.4132412927518062E-4</v>
      </c>
      <c r="T33">
        <f>(накопительные!T33/SUM(накопительные!T$2:T$34))^$B$39</f>
        <v>9.0968358172748931E-4</v>
      </c>
    </row>
    <row r="34" spans="1:20" x14ac:dyDescent="0.25">
      <c r="A34" t="s">
        <v>52</v>
      </c>
      <c r="B34">
        <f>(накопительные!B34/SUM(накопительные!B$2:B$34))^$B$39</f>
        <v>0</v>
      </c>
      <c r="C34">
        <f>(накопительные!C34/SUM(накопительные!C$2:C$34))^$B$39</f>
        <v>0</v>
      </c>
      <c r="D34">
        <f>(накопительные!D34/SUM(накопительные!D$2:D$34))^$B$39</f>
        <v>0</v>
      </c>
      <c r="E34">
        <f>(накопительные!E34/SUM(накопительные!E$2:E$34))^$B$39</f>
        <v>0</v>
      </c>
      <c r="F34">
        <f>(накопительные!F34/SUM(накопительные!F$2:F$34))^$B$39</f>
        <v>0</v>
      </c>
      <c r="G34">
        <f>(накопительные!G34/SUM(накопительные!G$2:G$34))^$B$39</f>
        <v>0</v>
      </c>
      <c r="H34">
        <f>(накопительные!H34/SUM(накопительные!H$2:H$34))^$B$39</f>
        <v>0</v>
      </c>
      <c r="I34">
        <f>(накопительные!I34/SUM(накопительные!I$2:I$34))^$B$39</f>
        <v>0</v>
      </c>
      <c r="J34">
        <f>(накопительные!J34/SUM(накопительные!J$2:J$34))^$B$39</f>
        <v>0</v>
      </c>
      <c r="K34">
        <f>(накопительные!K34/SUM(накопительные!K$2:K$34))^$B$39</f>
        <v>0</v>
      </c>
      <c r="L34">
        <f>(накопительные!L34/SUM(накопительные!L$2:L$34))^$B$39</f>
        <v>0</v>
      </c>
      <c r="M34">
        <f>(накопительные!M34/SUM(накопительные!M$2:M$34))^$B$39</f>
        <v>0</v>
      </c>
      <c r="N34">
        <f>(накопительные!N34/SUM(накопительные!N$2:N$34))^$B$39</f>
        <v>0</v>
      </c>
      <c r="O34">
        <f>(накопительные!O34/SUM(накопительные!O$2:O$34))^$B$39</f>
        <v>0</v>
      </c>
      <c r="P34">
        <f>(накопительные!P34/SUM(накопительные!P$2:P$34))^$B$39</f>
        <v>0</v>
      </c>
      <c r="Q34">
        <f>(накопительные!Q34/SUM(накопительные!Q$2:Q$34))^$B$39</f>
        <v>0</v>
      </c>
      <c r="R34">
        <f>(накопительные!R34/SUM(накопительные!R$2:R$34))^$B$39</f>
        <v>0</v>
      </c>
      <c r="S34">
        <f>(накопительные!S34/SUM(накопительные!S$2:S$34))^$B$39</f>
        <v>5.5695010982114851E-3</v>
      </c>
      <c r="T34">
        <f>(накопительные!T34/SUM(накопительные!T$2:T$34))^$B$39</f>
        <v>5.3822945252209788E-3</v>
      </c>
    </row>
    <row r="36" spans="1:20" x14ac:dyDescent="0.25">
      <c r="A36" s="1" t="s">
        <v>53</v>
      </c>
      <c r="B36">
        <f>SUM(B2:B34)</f>
        <v>0.99999999999999978</v>
      </c>
      <c r="C36">
        <f t="shared" ref="C36:T36" si="0">SUM(C2:C34)</f>
        <v>1</v>
      </c>
      <c r="D36">
        <f t="shared" si="0"/>
        <v>1.0000000000000002</v>
      </c>
      <c r="E36">
        <f t="shared" si="0"/>
        <v>1</v>
      </c>
      <c r="F36">
        <f t="shared" si="0"/>
        <v>0.99999999999999978</v>
      </c>
      <c r="G36">
        <f t="shared" si="0"/>
        <v>0.99999999999999978</v>
      </c>
      <c r="H36">
        <f t="shared" si="0"/>
        <v>0.99999999999999944</v>
      </c>
      <c r="I36">
        <f t="shared" si="0"/>
        <v>0.99999999999999989</v>
      </c>
      <c r="J36">
        <f t="shared" si="0"/>
        <v>0.99999999999999967</v>
      </c>
      <c r="K36">
        <f t="shared" si="0"/>
        <v>0.99999999999999978</v>
      </c>
      <c r="L36">
        <f t="shared" si="0"/>
        <v>0.99999999999999967</v>
      </c>
      <c r="M36">
        <f t="shared" si="0"/>
        <v>1.0000000000000004</v>
      </c>
      <c r="N36">
        <f t="shared" si="0"/>
        <v>1.0000000000000002</v>
      </c>
      <c r="O36">
        <f t="shared" si="0"/>
        <v>1.0000000000000002</v>
      </c>
      <c r="P36">
        <f t="shared" si="0"/>
        <v>0.99999999999999967</v>
      </c>
      <c r="Q36">
        <f t="shared" si="0"/>
        <v>0.99999999999999978</v>
      </c>
      <c r="R36">
        <f t="shared" si="0"/>
        <v>1.0000000000000002</v>
      </c>
      <c r="S36">
        <f t="shared" si="0"/>
        <v>1.0000000000000002</v>
      </c>
      <c r="T36">
        <f t="shared" si="0"/>
        <v>1.0000000000000002</v>
      </c>
    </row>
    <row r="37" spans="1:20" x14ac:dyDescent="0.25">
      <c r="A37" s="1" t="s">
        <v>55</v>
      </c>
      <c r="B37">
        <f>LN(B36)/LN(SUM(накопительные!B2:B34))</f>
        <v>-7.7180591376487778E-17</v>
      </c>
      <c r="C37">
        <f>LN(C36)/LN(SUM(накопительные!C2:C34))</f>
        <v>0</v>
      </c>
      <c r="D37">
        <f>LN(D36)/LN(SUM(накопительные!D2:D34))</f>
        <v>4.8719001360046498E-17</v>
      </c>
      <c r="E37">
        <f>LN(E36)/LN(SUM(накопительные!E2:E34))</f>
        <v>0</v>
      </c>
      <c r="F37">
        <f>LN(F36)/LN(SUM(накопительные!F2:F34))</f>
        <v>-4.3732841340696495E-17</v>
      </c>
      <c r="G37">
        <f>LN(G36)/LN(SUM(накопительные!G2:G34))</f>
        <v>-4.2297435542671947E-17</v>
      </c>
      <c r="H37">
        <f>LN(H36)/LN(SUM(накопительные!H2:H34))</f>
        <v>-1.0323745271448136E-16</v>
      </c>
      <c r="I37">
        <f>LN(I36)/LN(SUM(накопительные!I2:I34))</f>
        <v>-2.0336091350376651E-17</v>
      </c>
      <c r="J37">
        <f>LN(J36)/LN(SUM(накопительные!J2:J34))</f>
        <v>-5.9619567476864385E-17</v>
      </c>
      <c r="K37">
        <f>LN(K36)/LN(SUM(накопительные!K2:K34))</f>
        <v>-3.856289065968534E-17</v>
      </c>
      <c r="L37">
        <f>LN(L36)/LN(SUM(накопительные!L2:L34))</f>
        <v>-5.6738864549309226E-17</v>
      </c>
      <c r="M37">
        <f>LN(M36)/LN(SUM(накопительные!M2:M34))</f>
        <v>7.4244538051900644E-17</v>
      </c>
      <c r="N37">
        <f>LN(N36)/LN(SUM(накопительные!N2:N34))</f>
        <v>3.6711654613817082E-17</v>
      </c>
      <c r="O37">
        <f>LN(O36)/LN(SUM(накопительные!O2:O34))</f>
        <v>3.6042965841862687E-17</v>
      </c>
      <c r="P37">
        <f>LN(P36)/LN(SUM(накопительные!P2:P34))</f>
        <v>-5.3405670929461222E-17</v>
      </c>
      <c r="Q37">
        <f>LN(Q36)/LN(SUM(накопительные!Q2:Q34))</f>
        <v>-3.516661834721994E-17</v>
      </c>
      <c r="R37">
        <f>LN(R36)/LN(SUM(накопительные!R2:R34))</f>
        <v>3.4576336545614999E-17</v>
      </c>
      <c r="S37">
        <f>LN(S36)/LN(SUM(накопительные!S2:S34))</f>
        <v>3.4386083293686644E-17</v>
      </c>
      <c r="T37">
        <f>LN(T36)/LN(SUM(накопительные!T2:T34))</f>
        <v>3.4204974383248494E-17</v>
      </c>
    </row>
    <row r="39" spans="1:20" x14ac:dyDescent="0.25">
      <c r="A39" s="2" t="s">
        <v>56</v>
      </c>
      <c r="B39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4EA5-FE3B-4AA6-8443-B964E0949E4C}">
  <dimension ref="A1:T39"/>
  <sheetViews>
    <sheetView workbookViewId="0">
      <selection activeCell="D30" sqref="D30"/>
    </sheetView>
  </sheetViews>
  <sheetFormatPr defaultRowHeight="15" x14ac:dyDescent="0.25"/>
  <cols>
    <col min="1" max="1" width="25.5703125" bestFit="1" customWidth="1"/>
    <col min="2" max="2" width="12.7109375" bestFit="1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20</v>
      </c>
      <c r="B2">
        <f>(накопительные!B2/SUM(накопительные!B$2:B$34))^$B$39</f>
        <v>6.1378946514081649E-2</v>
      </c>
      <c r="C2">
        <f>(накопительные!C2/SUM(накопительные!C$2:C$34))^$B$39</f>
        <v>5.1077621961028797E-3</v>
      </c>
      <c r="D2">
        <f>(накопительные!D2/SUM(накопительные!D$2:D$34))^$B$39</f>
        <v>5.1599876026136235E-3</v>
      </c>
      <c r="E2">
        <f>(накопительные!E2/SUM(накопительные!E$2:E$34))^$B$39</f>
        <v>2.8837135748365178E-3</v>
      </c>
      <c r="F2">
        <f>(накопительные!F2/SUM(накопительные!F$2:F$34))^$B$39</f>
        <v>1.8251450481248613E-3</v>
      </c>
      <c r="G2">
        <f>(накопительные!G2/SUM(накопительные!G$2:G$34))^$B$39</f>
        <v>1.2931138979378688E-3</v>
      </c>
      <c r="H2">
        <f>(накопительные!H2/SUM(накопительные!H$2:H$34))^$B$39</f>
        <v>1.0021827196834709E-3</v>
      </c>
      <c r="I2">
        <f>(накопительные!I2/SUM(накопительные!I$2:I$34))^$B$39</f>
        <v>8.5002215292962347E-4</v>
      </c>
      <c r="J2">
        <f>(накопительные!J2/SUM(накопительные!J$2:J$34))^$B$39</f>
        <v>6.5913889151227902E-4</v>
      </c>
      <c r="K2">
        <f>(накопительные!K2/SUM(накопительные!K$2:K$34))^$B$39</f>
        <v>4.6779717029713495E-4</v>
      </c>
      <c r="L2">
        <f>(накопительные!L2/SUM(накопительные!L$2:L$34))^$B$39</f>
        <v>3.737785053268257E-4</v>
      </c>
      <c r="M2">
        <f>(накопительные!M2/SUM(накопительные!M$2:M$34))^$B$39</f>
        <v>2.9920499353720728E-4</v>
      </c>
      <c r="N2">
        <f>(накопительные!N2/SUM(накопительные!N$2:N$34))^$B$39</f>
        <v>2.6173326404702979E-4</v>
      </c>
      <c r="O2">
        <f>(накопительные!O2/SUM(накопительные!O$2:O$34))^$B$39</f>
        <v>2.0911862274810655E-4</v>
      </c>
      <c r="P2">
        <f>(накопительные!P2/SUM(накопительные!P$2:P$34))^$B$39</f>
        <v>1.7963310454546263E-4</v>
      </c>
      <c r="Q2">
        <f>(накопительные!Q2/SUM(накопительные!Q$2:Q$34))^$B$39</f>
        <v>1.5383203436319893E-4</v>
      </c>
      <c r="R2">
        <f>(накопительные!R2/SUM(накопительные!R$2:R$34))^$B$39</f>
        <v>1.3134579614074068E-4</v>
      </c>
      <c r="S2">
        <f>(накопительные!S2/SUM(накопительные!S$2:S$34))^$B$39</f>
        <v>1.2233595475185567E-4</v>
      </c>
      <c r="T2">
        <f>(накопительные!T2/SUM(накопительные!T$2:T$34))^$B$39</f>
        <v>1.4896010609158407E-4</v>
      </c>
    </row>
    <row r="3" spans="1:20" x14ac:dyDescent="0.25">
      <c r="A3" t="s">
        <v>21</v>
      </c>
      <c r="B3">
        <f>(накопительные!B3/SUM(накопительные!B$2:B$34))^$B$39</f>
        <v>0.17833500730460186</v>
      </c>
      <c r="C3">
        <f>(накопительные!C3/SUM(накопительные!C$2:C$34))^$B$39</f>
        <v>0.39766314675541431</v>
      </c>
      <c r="D3">
        <f>(накопительные!D3/SUM(накопительные!D$2:D$34))^$B$39</f>
        <v>0.2771245171951715</v>
      </c>
      <c r="E3">
        <f>(накопительные!E3/SUM(накопительные!E$2:E$34))^$B$39</f>
        <v>0.29685241610856389</v>
      </c>
      <c r="F3">
        <f>(накопительные!F3/SUM(накопительные!F$2:F$34))^$B$39</f>
        <v>0.22289893860789678</v>
      </c>
      <c r="G3">
        <f>(накопительные!G3/SUM(накопительные!G$2:G$34))^$B$39</f>
        <v>0.18305047234435093</v>
      </c>
      <c r="H3">
        <f>(накопительные!H3/SUM(накопительные!H$2:H$34))^$B$39</f>
        <v>0.21230297682558413</v>
      </c>
      <c r="I3">
        <f>(накопительные!I3/SUM(накопительные!I$2:I$34))^$B$39</f>
        <v>0.19631367823729071</v>
      </c>
      <c r="J3">
        <f>(накопительные!J3/SUM(накопительные!J$2:J$34))^$B$39</f>
        <v>0.16751012821744327</v>
      </c>
      <c r="K3">
        <f>(накопительные!K3/SUM(накопительные!K$2:K$34))^$B$39</f>
        <v>0.17582174964703551</v>
      </c>
      <c r="L3">
        <f>(накопительные!L3/SUM(накопительные!L$2:L$34))^$B$39</f>
        <v>0.18477065004682763</v>
      </c>
      <c r="M3">
        <f>(накопительные!M3/SUM(накопительные!M$2:M$34))^$B$39</f>
        <v>0.19640020463944519</v>
      </c>
      <c r="N3">
        <f>(накопительные!N3/SUM(накопительные!N$2:N$34))^$B$39</f>
        <v>0.18395409776484228</v>
      </c>
      <c r="O3">
        <f>(накопительные!O3/SUM(накопительные!O$2:O$34))^$B$39</f>
        <v>0.17578024090118613</v>
      </c>
      <c r="P3">
        <f>(накопительные!P3/SUM(накопительные!P$2:P$34))^$B$39</f>
        <v>0.1588500261867338</v>
      </c>
      <c r="Q3">
        <f>(накопительные!Q3/SUM(накопительные!Q$2:Q$34))^$B$39</f>
        <v>0.14499204851893921</v>
      </c>
      <c r="R3">
        <f>(накопительные!R3/SUM(накопительные!R$2:R$34))^$B$39</f>
        <v>0.1315337142447307</v>
      </c>
      <c r="S3">
        <f>(накопительные!S3/SUM(накопительные!S$2:S$34))^$B$39</f>
        <v>0.12761506410032367</v>
      </c>
      <c r="T3">
        <f>(накопительные!T3/SUM(накопительные!T$2:T$34))^$B$39</f>
        <v>0.12554390612499616</v>
      </c>
    </row>
    <row r="4" spans="1:20" x14ac:dyDescent="0.25">
      <c r="A4" t="s">
        <v>22</v>
      </c>
      <c r="B4">
        <f>(накопительные!B4/SUM(накопительные!B$2:B$34))^$B$39</f>
        <v>0</v>
      </c>
      <c r="C4">
        <f>(накопительные!C4/SUM(накопительные!C$2:C$34))^$B$39</f>
        <v>0</v>
      </c>
      <c r="D4">
        <f>(накопительные!D4/SUM(накопительные!D$2:D$34))^$B$39</f>
        <v>0</v>
      </c>
      <c r="E4">
        <f>(накопительные!E4/SUM(накопительные!E$2:E$34))^$B$39</f>
        <v>0</v>
      </c>
      <c r="F4">
        <f>(накопительные!F4/SUM(накопительные!F$2:F$34))^$B$39</f>
        <v>0</v>
      </c>
      <c r="G4">
        <f>(накопительные!G4/SUM(накопительные!G$2:G$34))^$B$39</f>
        <v>6.8896259680210387E-8</v>
      </c>
      <c r="H4">
        <f>(накопительные!H4/SUM(накопительные!H$2:H$34))^$B$39</f>
        <v>1.0465544944214414E-7</v>
      </c>
      <c r="I4">
        <f>(накопительные!I4/SUM(накопительные!I$2:I$34))^$B$39</f>
        <v>1.1593887322179317E-7</v>
      </c>
      <c r="J4">
        <f>(накопительные!J4/SUM(накопительные!J$2:J$34))^$B$39</f>
        <v>8.9903327948821693E-8</v>
      </c>
      <c r="K4">
        <f>(накопительные!K4/SUM(накопительные!K$2:K$34))^$B$39</f>
        <v>6.3805250996891963E-8</v>
      </c>
      <c r="L4">
        <f>(накопительные!L4/SUM(накопительные!L$2:L$34))^$B$39</f>
        <v>6.2452415829555423E-7</v>
      </c>
      <c r="M4">
        <f>(накопительные!M4/SUM(накопительные!M$2:M$34))^$B$39</f>
        <v>4.9992373580514779E-7</v>
      </c>
      <c r="N4">
        <f>(накопительные!N4/SUM(накопительные!N$2:N$34))^$B$39</f>
        <v>4.3731446323804424E-7</v>
      </c>
      <c r="O4">
        <f>(накопительные!O4/SUM(накопительные!O$2:O$34))^$B$39</f>
        <v>3.4940380464492636E-7</v>
      </c>
      <c r="P4">
        <f>(накопительные!P4/SUM(накопительные!P$2:P$34))^$B$39</f>
        <v>3.0013821506450582E-7</v>
      </c>
      <c r="Q4">
        <f>(накопительные!Q4/SUM(накопительные!Q$2:Q$34))^$B$39</f>
        <v>2.570287494075294E-7</v>
      </c>
      <c r="R4">
        <f>(накопительные!R4/SUM(накопительные!R$2:R$34))^$B$39</f>
        <v>2.0718294688263303E-7</v>
      </c>
      <c r="S4">
        <f>(накопительные!S4/SUM(накопительные!S$2:S$34))^$B$39</f>
        <v>1.929709542285697E-7</v>
      </c>
      <c r="T4">
        <f>(накопительные!T4/SUM(накопительные!T$2:T$34))^$B$39</f>
        <v>1.8021638544161399E-7</v>
      </c>
    </row>
    <row r="5" spans="1:20" x14ac:dyDescent="0.25">
      <c r="A5" t="s">
        <v>23</v>
      </c>
      <c r="B5">
        <f>(накопительные!B5/SUM(накопительные!B$2:B$34))^$B$39</f>
        <v>2.85336011687363E-6</v>
      </c>
      <c r="C5">
        <f>(накопительные!C5/SUM(накопительные!C$2:C$34))^$B$39</f>
        <v>1.038833603128959E-5</v>
      </c>
      <c r="D5">
        <f>(накопительные!D5/SUM(накопительные!D$2:D$34))^$B$39</f>
        <v>5.8173231217062312E-6</v>
      </c>
      <c r="E5">
        <f>(накопительные!E5/SUM(накопительные!E$2:E$34))^$B$39</f>
        <v>6.6926614800937025E-6</v>
      </c>
      <c r="F5">
        <f>(накопительные!F5/SUM(накопительные!F$2:F$34))^$B$39</f>
        <v>1.4488748020161538E-4</v>
      </c>
      <c r="G5">
        <f>(накопительные!G5/SUM(накопительные!G$2:G$34))^$B$39</f>
        <v>1.9061941543281887E-4</v>
      </c>
      <c r="H5">
        <f>(накопительные!H5/SUM(накопительные!H$2:H$34))^$B$39</f>
        <v>1.5918093860150119E-4</v>
      </c>
      <c r="I5">
        <f>(накопительные!I5/SUM(накопительные!I$2:I$34))^$B$39</f>
        <v>1.379962438522393E-4</v>
      </c>
      <c r="J5">
        <f>(накопительные!J5/SUM(накопительные!J$2:J$34))^$B$39</f>
        <v>2.5492650535688063E-4</v>
      </c>
      <c r="K5">
        <f>(накопительные!K5/SUM(накопительные!K$2:K$34))^$B$39</f>
        <v>1.8092377702987446E-4</v>
      </c>
      <c r="L5">
        <f>(накопительные!L5/SUM(накопительные!L$2:L$34))^$B$39</f>
        <v>1.4456141090668872E-4</v>
      </c>
      <c r="M5">
        <f>(накопительные!M5/SUM(накопительные!M$2:M$34))^$B$39</f>
        <v>1.1845195546798476E-4</v>
      </c>
      <c r="N5">
        <f>(накопительные!N5/SUM(накопительные!N$2:N$34))^$B$39</f>
        <v>1.1345688665444059E-4</v>
      </c>
      <c r="O5">
        <f>(накопительные!O5/SUM(накопительные!O$2:O$34))^$B$39</f>
        <v>9.0649340903804364E-5</v>
      </c>
      <c r="P5">
        <f>(накопительные!P5/SUM(накопительные!P$2:P$34))^$B$39</f>
        <v>1.120468787286921E-4</v>
      </c>
      <c r="Q5">
        <f>(накопительные!Q5/SUM(накопительные!Q$2:Q$34))^$B$39</f>
        <v>9.595335638436872E-5</v>
      </c>
      <c r="R5">
        <f>(накопительные!R5/SUM(накопительные!R$2:R$34))^$B$39</f>
        <v>7.7631238785752282E-5</v>
      </c>
      <c r="S5">
        <f>(накопительные!S5/SUM(накопительные!S$2:S$34))^$B$39</f>
        <v>8.053189883714327E-5</v>
      </c>
      <c r="T5">
        <f>(накопительные!T5/SUM(накопительные!T$2:T$34))^$B$39</f>
        <v>7.5735935981838238E-5</v>
      </c>
    </row>
    <row r="6" spans="1:20" x14ac:dyDescent="0.25">
      <c r="A6" t="s">
        <v>24</v>
      </c>
      <c r="B6">
        <f>(накопительные!B6/SUM(накопительные!B$2:B$34))^$B$39</f>
        <v>0</v>
      </c>
      <c r="C6">
        <f>(накопительные!C6/SUM(накопительные!C$2:C$34))^$B$39</f>
        <v>0</v>
      </c>
      <c r="D6">
        <f>(накопительные!D6/SUM(накопительные!D$2:D$34))^$B$39</f>
        <v>0</v>
      </c>
      <c r="E6">
        <f>(накопительные!E6/SUM(накопительные!E$2:E$34))^$B$39</f>
        <v>0</v>
      </c>
      <c r="F6">
        <f>(накопительные!F6/SUM(накопительные!F$2:F$34))^$B$39</f>
        <v>3.8897012054448538E-9</v>
      </c>
      <c r="G6">
        <f>(накопительные!G6/SUM(накопительные!G$2:G$34))^$B$39</f>
        <v>2.7558503872084152E-9</v>
      </c>
      <c r="H6">
        <f>(накопительные!H6/SUM(накопительные!H$2:H$34))^$B$39</f>
        <v>2.1358254988192678E-9</v>
      </c>
      <c r="I6">
        <f>(накопительные!I6/SUM(накопительные!I$2:I$34))^$B$39</f>
        <v>6.5215616187258659E-8</v>
      </c>
      <c r="J6">
        <f>(накопительные!J6/SUM(накопительные!J$2:J$34))^$B$39</f>
        <v>5.0570621971212204E-8</v>
      </c>
      <c r="K6">
        <f>(накопительные!K6/SUM(накопительные!K$2:K$34))^$B$39</f>
        <v>3.5890453685751734E-8</v>
      </c>
      <c r="L6">
        <f>(накопительные!L6/SUM(накопительные!L$2:L$34))^$B$39</f>
        <v>2.8677129717652996E-8</v>
      </c>
      <c r="M6">
        <f>(накопительные!M6/SUM(накопительные!M$2:M$34))^$B$39</f>
        <v>1.6324040352821155E-7</v>
      </c>
      <c r="N6">
        <f>(накопительные!N6/SUM(накопительные!N$2:N$34))^$B$39</f>
        <v>3.7707216473076263E-7</v>
      </c>
      <c r="O6">
        <f>(накопительные!O6/SUM(накопительные!O$2:O$34))^$B$39</f>
        <v>1.3976152185797054E-6</v>
      </c>
      <c r="P6">
        <f>(накопительные!P6/SUM(накопительные!P$2:P$34))^$B$39</f>
        <v>2.2112223599650318E-6</v>
      </c>
      <c r="Q6">
        <f>(накопительные!Q6/SUM(накопительные!Q$2:Q$34))^$B$39</f>
        <v>2.4247252941557227E-6</v>
      </c>
      <c r="R6">
        <f>(накопительные!R6/SUM(накопительные!R$2:R$34))^$B$39</f>
        <v>1.9544962693162673E-6</v>
      </c>
      <c r="S6">
        <f>(накопительные!S6/SUM(накопительные!S$2:S$34))^$B$39</f>
        <v>3.9076618231285355E-6</v>
      </c>
      <c r="T6">
        <f>(накопительные!T6/SUM(накопительные!T$2:T$34))^$B$39</f>
        <v>4.25163554225522E-6</v>
      </c>
    </row>
    <row r="7" spans="1:20" x14ac:dyDescent="0.25">
      <c r="A7" t="s">
        <v>25</v>
      </c>
      <c r="B7">
        <f>(накопительные!B7/SUM(накопительные!B$2:B$34))^$B$39</f>
        <v>0</v>
      </c>
      <c r="C7">
        <f>(накопительные!C7/SUM(накопительные!C$2:C$34))^$B$39</f>
        <v>0</v>
      </c>
      <c r="D7">
        <f>(накопительные!D7/SUM(накопительные!D$2:D$34))^$B$39</f>
        <v>1.099683009774335E-6</v>
      </c>
      <c r="E7">
        <f>(накопительные!E7/SUM(накопительные!E$2:E$34))^$B$39</f>
        <v>6.1456946557334273E-7</v>
      </c>
      <c r="F7">
        <f>(накопительные!F7/SUM(накопительные!F$2:F$34))^$B$39</f>
        <v>3.8897012054448536E-7</v>
      </c>
      <c r="G7">
        <f>(накопительные!G7/SUM(накопительные!G$2:G$34))^$B$39</f>
        <v>2.7558503872084155E-7</v>
      </c>
      <c r="H7">
        <f>(накопительные!H7/SUM(накопительные!H$2:H$34))^$B$39</f>
        <v>3.0755887182997462E-7</v>
      </c>
      <c r="I7">
        <f>(накопительные!I7/SUM(накопительные!I$2:I$34))^$B$39</f>
        <v>2.6086246474903464E-7</v>
      </c>
      <c r="J7">
        <f>(накопительные!J7/SUM(накопительные!J$2:J$34))^$B$39</f>
        <v>2.0228248788484882E-7</v>
      </c>
      <c r="K7">
        <f>(накопительные!K7/SUM(накопительные!K$2:K$34))^$B$39</f>
        <v>1.4356181474300694E-7</v>
      </c>
      <c r="L7">
        <f>(накопительные!L7/SUM(накопительные!L$2:L$34))^$B$39</f>
        <v>1.1470851887061199E-7</v>
      </c>
      <c r="M7">
        <f>(накопительные!M7/SUM(накопительные!M$2:M$34))^$B$39</f>
        <v>9.1822726984618984E-8</v>
      </c>
      <c r="N7">
        <f>(накопительные!N7/SUM(накопительные!N$2:N$34))^$B$39</f>
        <v>8.0323064676375467E-8</v>
      </c>
      <c r="O7">
        <f>(накопительные!O7/SUM(накопительные!O$2:O$34))^$B$39</f>
        <v>6.4176209016415031E-8</v>
      </c>
      <c r="P7">
        <f>(накопительные!P7/SUM(накопительные!P$2:P$34))^$B$39</f>
        <v>2.2420018401833817E-5</v>
      </c>
      <c r="Q7">
        <f>(накопительные!Q7/SUM(накопительные!Q$2:Q$34))^$B$39</f>
        <v>1.0726491625784827E-4</v>
      </c>
      <c r="R7">
        <f>(накопительные!R7/SUM(накопительные!R$2:R$34))^$B$39</f>
        <v>1.0223949900732214E-4</v>
      </c>
      <c r="S7">
        <f>(накопительные!S7/SUM(накопительные!S$2:S$34))^$B$39</f>
        <v>9.5226243183374926E-5</v>
      </c>
      <c r="T7">
        <f>(накопительные!T7/SUM(накопительные!T$2:T$34))^$B$39</f>
        <v>8.8932188858665016E-5</v>
      </c>
    </row>
    <row r="8" spans="1:20" x14ac:dyDescent="0.25">
      <c r="A8" t="s">
        <v>26</v>
      </c>
      <c r="B8">
        <f>(накопительные!B8/SUM(накопительные!B$2:B$34))^$B$39</f>
        <v>0</v>
      </c>
      <c r="C8">
        <f>(накопительные!C8/SUM(накопительные!C$2:C$34))^$B$39</f>
        <v>0</v>
      </c>
      <c r="D8">
        <f>(накопительные!D8/SUM(накопительные!D$2:D$34))^$B$39</f>
        <v>0</v>
      </c>
      <c r="E8">
        <f>(накопительные!E8/SUM(накопительные!E$2:E$34))^$B$39</f>
        <v>0</v>
      </c>
      <c r="F8">
        <f>(накопительные!F8/SUM(накопительные!F$2:F$34))^$B$39</f>
        <v>0</v>
      </c>
      <c r="G8">
        <f>(накопительные!G8/SUM(накопительные!G$2:G$34))^$B$39</f>
        <v>6.8896259680210372E-6</v>
      </c>
      <c r="H8">
        <f>(накопительные!H8/SUM(накопительные!H$2:H$34))^$B$39</f>
        <v>1.5431339228969203E-5</v>
      </c>
      <c r="I8">
        <f>(накопительные!I8/SUM(накопительные!I$2:I$34))^$B$39</f>
        <v>1.6349192669166922E-5</v>
      </c>
      <c r="J8">
        <f>(накопительные!J8/SUM(накопительные!J$2:J$34))^$B$39</f>
        <v>2.1949054675005293E-5</v>
      </c>
      <c r="K8">
        <f>(накопительные!K8/SUM(накопительные!K$2:K$34))^$B$39</f>
        <v>4.1897119892880999E-5</v>
      </c>
      <c r="L8">
        <f>(накопительные!L8/SUM(накопительные!L$2:L$34))^$B$39</f>
        <v>1.003898686852005E-4</v>
      </c>
      <c r="M8">
        <f>(накопительные!M8/SUM(накопительные!M$2:M$34))^$B$39</f>
        <v>1.1517694487220002E-4</v>
      </c>
      <c r="N8">
        <f>(накопительные!N8/SUM(накопительные!N$2:N$34))^$B$39</f>
        <v>1.3667471473839514E-4</v>
      </c>
      <c r="O8">
        <f>(накопительные!O8/SUM(накопительные!O$2:O$34))^$B$39</f>
        <v>1.4226840502267423E-4</v>
      </c>
      <c r="P8">
        <f>(накопительные!P8/SUM(накопительные!P$2:P$34))^$B$39</f>
        <v>1.2220870115301895E-4</v>
      </c>
      <c r="Q8">
        <f>(накопительные!Q8/SUM(накопительные!Q$2:Q$34))^$B$39</f>
        <v>1.0465561547145221E-4</v>
      </c>
      <c r="R8">
        <f>(накопительные!R8/SUM(накопительные!R$2:R$34))^$B$39</f>
        <v>8.5859361533376864E-5</v>
      </c>
      <c r="S8">
        <f>(накопительные!S8/SUM(накопительные!S$2:S$34))^$B$39</f>
        <v>9.7691545578213395E-5</v>
      </c>
      <c r="T8">
        <f>(накопительные!T8/SUM(накопительные!T$2:T$34))^$B$39</f>
        <v>1.3985159298810957E-4</v>
      </c>
    </row>
    <row r="9" spans="1:20" x14ac:dyDescent="0.25">
      <c r="A9" t="s">
        <v>27</v>
      </c>
      <c r="B9">
        <f>(накопительные!B9/SUM(накопительные!B$2:B$34))^$B$39</f>
        <v>0</v>
      </c>
      <c r="C9">
        <f>(накопительные!C9/SUM(накопительные!C$2:C$34))^$B$39</f>
        <v>0</v>
      </c>
      <c r="D9">
        <f>(накопительные!D9/SUM(накопительные!D$2:D$34))^$B$39</f>
        <v>0</v>
      </c>
      <c r="E9">
        <f>(накопительные!E9/SUM(накопительные!E$2:E$34))^$B$39</f>
        <v>0</v>
      </c>
      <c r="F9">
        <f>(накопительные!F9/SUM(накопительные!F$2:F$34))^$B$39</f>
        <v>0</v>
      </c>
      <c r="G9">
        <f>(накопительные!G9/SUM(накопительные!G$2:G$34))^$B$39</f>
        <v>0</v>
      </c>
      <c r="H9">
        <f>(накопительные!H9/SUM(накопительные!H$2:H$34))^$B$39</f>
        <v>0</v>
      </c>
      <c r="I9">
        <f>(накопительные!I9/SUM(накопительные!I$2:I$34))^$B$39</f>
        <v>0</v>
      </c>
      <c r="J9">
        <f>(накопительные!J9/SUM(накопительные!J$2:J$34))^$B$39</f>
        <v>3.5961331179528676E-5</v>
      </c>
      <c r="K9">
        <f>(накопительные!K9/SUM(накопительные!K$2:K$34))^$B$39</f>
        <v>2.552210039875679E-5</v>
      </c>
      <c r="L9">
        <f>(накопительные!L9/SUM(накопительные!L$2:L$34))^$B$39</f>
        <v>1.2745390985623552E-4</v>
      </c>
      <c r="M9">
        <f>(накопительные!M9/SUM(накопительные!M$2:M$34))^$B$39</f>
        <v>1.0202525220513219E-4</v>
      </c>
      <c r="N9">
        <f>(накопительные!N9/SUM(накопительные!N$2:N$34))^$B$39</f>
        <v>8.9247849640417193E-5</v>
      </c>
      <c r="O9">
        <f>(накопительные!O9/SUM(накопительные!O$2:O$34))^$B$39</f>
        <v>7.8615856045108408E-5</v>
      </c>
      <c r="P9">
        <f>(накопительные!P9/SUM(накопительные!P$2:P$34))^$B$39</f>
        <v>7.4115763311847355E-5</v>
      </c>
      <c r="Q9">
        <f>(накопительные!Q9/SUM(накопительные!Q$2:Q$34))^$B$39</f>
        <v>6.3470364649614405E-5</v>
      </c>
      <c r="R9">
        <f>(накопительные!R9/SUM(накопительные!R$2:R$34))^$B$39</f>
        <v>5.1161503209793042E-5</v>
      </c>
      <c r="S9">
        <f>(накопительные!S9/SUM(накопительные!S$2:S$34))^$B$39</f>
        <v>4.7652011146238633E-5</v>
      </c>
      <c r="T9">
        <f>(накопительные!T9/SUM(накопительные!T$2:T$34))^$B$39</f>
        <v>4.4502413547827122E-5</v>
      </c>
    </row>
    <row r="10" spans="1:20" x14ac:dyDescent="0.25">
      <c r="A10" t="s">
        <v>28</v>
      </c>
      <c r="B10">
        <f>(накопительные!B10/SUM(накопительные!B$2:B$34))^$B$39</f>
        <v>1.9815000811622429E-4</v>
      </c>
      <c r="C10">
        <f>(накопительные!C10/SUM(накопительные!C$2:C$34))^$B$39</f>
        <v>3.9766314675541434E-5</v>
      </c>
      <c r="D10">
        <f>(накопительные!D10/SUM(накопительные!D$2:D$34))^$B$39</f>
        <v>6.0729994214787648E-4</v>
      </c>
      <c r="E10">
        <f>(накопительные!E10/SUM(накопительные!E$2:E$34))^$B$39</f>
        <v>3.539920121702453E-4</v>
      </c>
      <c r="F10">
        <f>(накопительные!F10/SUM(накопительные!F$2:F$34))^$B$39</f>
        <v>2.2404678943362355E-4</v>
      </c>
      <c r="G10">
        <f>(накопительные!G10/SUM(накопительные!G$2:G$34))^$B$39</f>
        <v>2.8219907965014175E-4</v>
      </c>
      <c r="H10">
        <f>(накопительные!H10/SUM(накопительные!H$2:H$34))^$B$39</f>
        <v>2.1870853107909305E-4</v>
      </c>
      <c r="I10">
        <f>(накопительные!I10/SUM(накопительные!I$2:I$34))^$B$39</f>
        <v>1.8550219715486908E-4</v>
      </c>
      <c r="J10">
        <f>(накопительные!J10/SUM(накопительные!J$2:J$34))^$B$39</f>
        <v>3.3727795375800137E-4</v>
      </c>
      <c r="K10">
        <f>(накопительные!K10/SUM(накопительные!K$2:K$34))^$B$39</f>
        <v>2.393693869430275E-4</v>
      </c>
      <c r="L10">
        <f>(накопительные!L10/SUM(накопительные!L$2:L$34))^$B$39</f>
        <v>3.6834179948452069E-4</v>
      </c>
      <c r="M10">
        <f>(накопительные!M10/SUM(накопительные!M$2:M$34))^$B$39</f>
        <v>3.1693188110784896E-4</v>
      </c>
      <c r="N10">
        <f>(накопительные!N10/SUM(накопительные!N$2:N$34))^$B$39</f>
        <v>2.7724007792205232E-4</v>
      </c>
      <c r="O10">
        <f>(накопительные!O10/SUM(накопительные!O$2:O$34))^$B$39</f>
        <v>2.2783668371122759E-4</v>
      </c>
      <c r="P10">
        <f>(накопительные!P10/SUM(накопительные!P$2:P$34))^$B$39</f>
        <v>1.9571193749534687E-4</v>
      </c>
      <c r="Q10">
        <f>(накопительные!Q10/SUM(накопительные!Q$2:Q$34))^$B$39</f>
        <v>1.6760143165288796E-4</v>
      </c>
      <c r="R10">
        <f>(накопительные!R10/SUM(накопительные!R$2:R$34))^$B$39</f>
        <v>1.4667310598664971E-4</v>
      </c>
      <c r="S10">
        <f>(накопительные!S10/SUM(накопительные!S$2:S$34))^$B$39</f>
        <v>1.3845173693057453E-4</v>
      </c>
      <c r="T10">
        <f>(накопительные!T10/SUM(накопительные!T$2:T$34))^$B$39</f>
        <v>1.2930065919758654E-4</v>
      </c>
    </row>
    <row r="11" spans="1:20" x14ac:dyDescent="0.25">
      <c r="A11" t="s">
        <v>29</v>
      </c>
      <c r="B11">
        <f>(накопительные!B11/SUM(накопительные!B$2:B$34))^$B$39</f>
        <v>7.9260003246489717E-4</v>
      </c>
      <c r="C11">
        <f>(накопительные!C11/SUM(накопительные!C$2:C$34))^$B$39</f>
        <v>7.8550745038106541E-4</v>
      </c>
      <c r="D11">
        <f>(накопительные!D11/SUM(накопительные!D$2:D$34))^$B$39</f>
        <v>2.9735428584298017E-3</v>
      </c>
      <c r="E11">
        <f>(накопительные!E11/SUM(накопительные!E$2:E$34))^$B$39</f>
        <v>1.8590726333593615E-3</v>
      </c>
      <c r="F11">
        <f>(накопительные!F11/SUM(накопительные!F$2:F$34))^$B$39</f>
        <v>1.1766346146470682E-3</v>
      </c>
      <c r="G11">
        <f>(накопительные!G11/SUM(накопительные!G$2:G$34))^$B$39</f>
        <v>8.3364474213054563E-4</v>
      </c>
      <c r="H11">
        <f>(накопительные!H11/SUM(накопительные!H$2:H$34))^$B$39</f>
        <v>7.4348085613898721E-4</v>
      </c>
      <c r="I11">
        <f>(накопительные!I11/SUM(накопительные!I$2:I$34))^$B$39</f>
        <v>6.3059877763290946E-4</v>
      </c>
      <c r="J11">
        <f>(накопительные!J11/SUM(накопительные!J$2:J$34))^$B$39</f>
        <v>4.8898981967163797E-4</v>
      </c>
      <c r="K11">
        <f>(накопительные!K11/SUM(накопительные!K$2:K$34))^$B$39</f>
        <v>3.4704074800028271E-4</v>
      </c>
      <c r="L11">
        <f>(накопительные!L11/SUM(накопительные!L$2:L$34))^$B$39</f>
        <v>2.7729191263097246E-4</v>
      </c>
      <c r="M11">
        <f>(накопительные!M11/SUM(накопительные!M$2:M$34))^$B$39</f>
        <v>2.2196868932879078E-4</v>
      </c>
      <c r="N11">
        <f>(накопительные!N11/SUM(накопительные!N$2:N$34))^$B$39</f>
        <v>1.9416985287393264E-4</v>
      </c>
      <c r="O11">
        <f>(накопительные!O11/SUM(накопительные!O$2:O$34))^$B$39</f>
        <v>1.5513707193481993E-4</v>
      </c>
      <c r="P11">
        <f>(накопительные!P11/SUM(накопительные!P$2:P$34))^$B$39</f>
        <v>1.3326289880606434E-4</v>
      </c>
      <c r="Q11">
        <f>(накопительные!Q11/SUM(накопительные!Q$2:Q$34))^$B$39</f>
        <v>1.1412207610811348E-4</v>
      </c>
      <c r="R11">
        <f>(накопительные!R11/SUM(накопительные!R$2:R$34))^$B$39</f>
        <v>9.199028547174049E-5</v>
      </c>
      <c r="S11">
        <f>(накопительные!S11/SUM(накопительные!S$2:S$34))^$B$39</f>
        <v>8.568008822316977E-5</v>
      </c>
      <c r="T11">
        <f>(накопительные!T11/SUM(накопительные!T$2:T$34))^$B$39</f>
        <v>8.0016994607430908E-5</v>
      </c>
    </row>
    <row r="12" spans="1:20" x14ac:dyDescent="0.25">
      <c r="A12" t="s">
        <v>30</v>
      </c>
      <c r="B12">
        <f>(накопительные!B12/SUM(накопительные!B$2:B$34))^$B$39</f>
        <v>0</v>
      </c>
      <c r="C12">
        <f>(накопительные!C12/SUM(накопительные!C$2:C$34))^$B$39</f>
        <v>0</v>
      </c>
      <c r="D12">
        <f>(накопительные!D12/SUM(накопительные!D$2:D$34))^$B$39</f>
        <v>0</v>
      </c>
      <c r="E12">
        <f>(накопительные!E12/SUM(накопительные!E$2:E$34))^$B$39</f>
        <v>0</v>
      </c>
      <c r="F12">
        <f>(накопительные!F12/SUM(накопительные!F$2:F$34))^$B$39</f>
        <v>1.7153582316011806E-4</v>
      </c>
      <c r="G12">
        <f>(накопительные!G12/SUM(накопительные!G$2:G$34))^$B$39</f>
        <v>2.3176701756422776E-4</v>
      </c>
      <c r="H12">
        <f>(накопительные!H12/SUM(накопительные!H$2:H$34))^$B$39</f>
        <v>2.3259139682141826E-4</v>
      </c>
      <c r="I12">
        <f>(накопительные!I12/SUM(накопительные!I$2:I$34))^$B$39</f>
        <v>2.6158708270667086E-4</v>
      </c>
      <c r="J12">
        <f>(накопительные!J12/SUM(накопительные!J$2:J$34))^$B$39</f>
        <v>2.5973633340214269E-4</v>
      </c>
      <c r="K12">
        <f>(накопительные!K12/SUM(накопительные!K$2:K$34))^$B$39</f>
        <v>2.2022781164396E-4</v>
      </c>
      <c r="L12">
        <f>(накопительные!L12/SUM(накопительные!L$2:L$34))^$B$39</f>
        <v>1.9126052347801352E-4</v>
      </c>
      <c r="M12">
        <f>(накопительные!M12/SUM(накопительные!M$2:M$34))^$B$39</f>
        <v>2.1450809276129057E-4</v>
      </c>
      <c r="N12">
        <f>(накопительные!N12/SUM(накопительные!N$2:N$34))^$B$39</f>
        <v>2.429772706460359E-4</v>
      </c>
      <c r="O12">
        <f>(накопительные!O12/SUM(накопительные!O$2:O$34))^$B$39</f>
        <v>2.2150819643322007E-4</v>
      </c>
      <c r="P12">
        <f>(накопительные!P12/SUM(накопительные!P$2:P$34))^$B$39</f>
        <v>1.9298427833420588E-4</v>
      </c>
      <c r="Q12">
        <f>(накопительные!Q12/SUM(накопительные!Q$2:Q$34))^$B$39</f>
        <v>1.6995370368987656E-4</v>
      </c>
      <c r="R12">
        <f>(накопительные!R12/SUM(накопительные!R$2:R$34))^$B$39</f>
        <v>1.5668210357999124E-4</v>
      </c>
      <c r="S12">
        <f>(накопительные!S12/SUM(накопительные!S$2:S$34))^$B$39</f>
        <v>1.7993187731497466E-4</v>
      </c>
      <c r="T12">
        <f>(накопительные!T12/SUM(накопительные!T$2:T$34))^$B$39</f>
        <v>1.7199286351664747E-4</v>
      </c>
    </row>
    <row r="13" spans="1:20" x14ac:dyDescent="0.25">
      <c r="A13" t="s">
        <v>31</v>
      </c>
      <c r="B13">
        <f>(накопительные!B13/SUM(накопительные!B$2:B$34))^$B$39</f>
        <v>0</v>
      </c>
      <c r="C13">
        <f>(накопительные!C13/SUM(накопительные!C$2:C$34))^$B$39</f>
        <v>0</v>
      </c>
      <c r="D13">
        <f>(накопительные!D13/SUM(накопительные!D$2:D$34))^$B$39</f>
        <v>0</v>
      </c>
      <c r="E13">
        <f>(накопительные!E13/SUM(накопительные!E$2:E$34))^$B$39</f>
        <v>0</v>
      </c>
      <c r="F13">
        <f>(накопительные!F13/SUM(накопительные!F$2:F$34))^$B$39</f>
        <v>3.0495257450687642E-4</v>
      </c>
      <c r="G13">
        <f>(накопительные!G13/SUM(накопительные!G$2:G$34))^$B$39</f>
        <v>7.4518194470115523E-4</v>
      </c>
      <c r="H13">
        <f>(накопительные!H13/SUM(накопительные!H$2:H$34))^$B$39</f>
        <v>5.7752721488072984E-4</v>
      </c>
      <c r="I13">
        <f>(накопительные!I13/SUM(накопительные!I$2:I$34))^$B$39</f>
        <v>1.3088411859803991E-3</v>
      </c>
      <c r="J13">
        <f>(накопительные!J13/SUM(накопительные!J$2:J$34))^$B$39</f>
        <v>1.0149242881722449E-3</v>
      </c>
      <c r="K13">
        <f>(накопительные!K13/SUM(накопительные!K$2:K$34))^$B$39</f>
        <v>1.7370979583903833E-3</v>
      </c>
      <c r="L13">
        <f>(накопительные!L13/SUM(накопительные!L$2:L$34))^$B$39</f>
        <v>1.3879730783344045E-3</v>
      </c>
      <c r="M13">
        <f>(накопительные!M13/SUM(накопительные!M$2:M$34))^$B$39</f>
        <v>1.1110549965138894E-3</v>
      </c>
      <c r="N13">
        <f>(накопительные!N13/SUM(накопительные!N$2:N$34))^$B$39</f>
        <v>9.7190908258414294E-4</v>
      </c>
      <c r="O13">
        <f>(накопительные!O13/SUM(накопительные!O$2:O$34))^$B$39</f>
        <v>8.7350951161231562E-4</v>
      </c>
      <c r="P13">
        <f>(накопительные!P13/SUM(накопительные!P$2:P$34))^$B$39</f>
        <v>7.5034553766126428E-4</v>
      </c>
      <c r="Q13">
        <f>(накопительные!Q13/SUM(накопительные!Q$2:Q$34))^$B$39</f>
        <v>6.4257187351882312E-4</v>
      </c>
      <c r="R13">
        <f>(накопительные!R13/SUM(накопительные!R$2:R$34))^$B$39</f>
        <v>5.2166366928570109E-4</v>
      </c>
      <c r="S13">
        <f>(накопительные!S13/SUM(накопительные!S$2:S$34))^$B$39</f>
        <v>4.9282049595701259E-4</v>
      </c>
      <c r="T13">
        <f>(накопительные!T13/SUM(накопительные!T$2:T$34))^$B$39</f>
        <v>4.6024713308780044E-4</v>
      </c>
    </row>
    <row r="14" spans="1:20" x14ac:dyDescent="0.25">
      <c r="A14" t="s">
        <v>32</v>
      </c>
      <c r="B14">
        <f>(накопительные!B14/SUM(накопительные!B$2:B$34))^$B$39</f>
        <v>5.3579762194627062E-3</v>
      </c>
      <c r="C14">
        <f>(накопительные!C14/SUM(накопительные!C$2:C$34))^$B$39</f>
        <v>2.0431048784411519E-2</v>
      </c>
      <c r="D14">
        <f>(накопительные!D14/SUM(накопительные!D$2:D$34))^$B$39</f>
        <v>3.0302865017341578E-2</v>
      </c>
      <c r="E14">
        <f>(накопительные!E14/SUM(накопительные!E$2:E$34))^$B$39</f>
        <v>3.8718490900586169E-2</v>
      </c>
      <c r="F14">
        <f>(накопительные!F14/SUM(накопительные!F$2:F$34))^$B$39</f>
        <v>3.006116679616001E-2</v>
      </c>
      <c r="G14">
        <f>(накопительные!G14/SUM(накопительные!G$2:G$34))^$B$39</f>
        <v>2.5301186819921745E-2</v>
      </c>
      <c r="H14">
        <f>(накопительные!H14/SUM(накопительные!H$2:H$34))^$B$39</f>
        <v>2.2282853846631531E-2</v>
      </c>
      <c r="I14">
        <f>(накопительные!I14/SUM(накопительные!I$2:I$34))^$B$39</f>
        <v>2.0208870220516182E-2</v>
      </c>
      <c r="J14">
        <f>(накопительные!J14/SUM(накопительные!J$2:J$34))^$B$39</f>
        <v>2.4309859877361378E-2</v>
      </c>
      <c r="K14">
        <f>(накопительные!K14/SUM(накопительные!K$2:K$34))^$B$39</f>
        <v>1.7252939869559576E-2</v>
      </c>
      <c r="L14">
        <f>(накопительные!L14/SUM(накопительные!L$2:L$34))^$B$39</f>
        <v>1.3818572821286464E-2</v>
      </c>
      <c r="M14">
        <f>(накопительные!M14/SUM(накопительные!M$2:M$34))^$B$39</f>
        <v>1.1141412603930943E-2</v>
      </c>
      <c r="N14">
        <f>(накопительные!N14/SUM(накопительные!N$2:N$34))^$B$39</f>
        <v>9.7927760817007985E-3</v>
      </c>
      <c r="O14">
        <f>(накопительные!O14/SUM(накопительные!O$2:O$34))^$B$39</f>
        <v>7.8241940493964119E-3</v>
      </c>
      <c r="P14">
        <f>(накопительные!P14/SUM(накопительные!P$2:P$34))^$B$39</f>
        <v>7.649275078293852E-3</v>
      </c>
      <c r="Q14">
        <f>(накопительные!Q14/SUM(накопительные!Q$2:Q$34))^$B$39</f>
        <v>7.0279331609365593E-3</v>
      </c>
      <c r="R14">
        <f>(накопительные!R14/SUM(накопительные!R$2:R$34))^$B$39</f>
        <v>7.1182405300067439E-3</v>
      </c>
      <c r="S14">
        <f>(накопительные!S14/SUM(накопительные!S$2:S$34))^$B$39</f>
        <v>6.6427358890235868E-3</v>
      </c>
      <c r="T14">
        <f>(накопительные!T14/SUM(накопительные!T$2:T$34))^$B$39</f>
        <v>6.6163377179243588E-3</v>
      </c>
    </row>
    <row r="15" spans="1:20" x14ac:dyDescent="0.25">
      <c r="A15" t="s">
        <v>33</v>
      </c>
      <c r="B15">
        <f>(накопительные!B15/SUM(накопительные!B$2:B$34))^$B$39</f>
        <v>6.4200602629656668E-4</v>
      </c>
      <c r="C15">
        <f>(накопительные!C15/SUM(накопительные!C$2:C$34))^$B$39</f>
        <v>6.014041416980032E-4</v>
      </c>
      <c r="D15">
        <f>(накопительные!D15/SUM(накопительные!D$2:D$34))^$B$39</f>
        <v>4.6214178485766416E-4</v>
      </c>
      <c r="E15">
        <f>(накопительные!E15/SUM(накопительные!E$2:E$34))^$B$39</f>
        <v>2.9745162133749779E-4</v>
      </c>
      <c r="F15">
        <f>(накопительные!F15/SUM(накопительные!F$2:F$34))^$B$39</f>
        <v>3.7380028584325036E-4</v>
      </c>
      <c r="G15">
        <f>(накопительные!G15/SUM(накопительные!G$2:G$34))^$B$39</f>
        <v>4.632584500897345E-4</v>
      </c>
      <c r="H15">
        <f>(накопительные!H15/SUM(накопительные!H$2:H$34))^$B$39</f>
        <v>4.1349581657141015E-4</v>
      </c>
      <c r="I15">
        <f>(накопительные!I15/SUM(накопительные!I$2:I$34))^$B$39</f>
        <v>5.0886296075002653E-4</v>
      </c>
      <c r="J15">
        <f>(накопительные!J15/SUM(накопительные!J$2:J$34))^$B$39</f>
        <v>8.113775347381155E-4</v>
      </c>
      <c r="K15">
        <f>(накопительные!K15/SUM(накопительные!K$2:K$34))^$B$39</f>
        <v>6.0654866728920419E-4</v>
      </c>
      <c r="L15">
        <f>(накопительные!L15/SUM(накопительные!L$2:L$34))^$B$39</f>
        <v>5.2264068910422572E-4</v>
      </c>
      <c r="M15">
        <f>(накопительные!M15/SUM(накопительные!M$2:M$34))^$B$39</f>
        <v>4.4993136222463303E-4</v>
      </c>
      <c r="N15">
        <f>(накопительные!N15/SUM(накопительные!N$2:N$34))^$B$39</f>
        <v>4.0300982103250887E-4</v>
      </c>
      <c r="O15">
        <f>(накопительные!O15/SUM(накопительные!O$2:O$34))^$B$39</f>
        <v>3.2427213379322716E-4</v>
      </c>
      <c r="P15">
        <f>(накопительные!P15/SUM(накопительные!P$2:P$34))^$B$39</f>
        <v>4.0064202305260457E-4</v>
      </c>
      <c r="Q15">
        <f>(накопительные!Q15/SUM(накопительные!Q$2:Q$34))^$B$39</f>
        <v>3.5664345409978465E-4</v>
      </c>
      <c r="R15">
        <f>(накопительные!R15/SUM(накопительные!R$2:R$34))^$B$39</f>
        <v>3.7611342087724535E-4</v>
      </c>
      <c r="S15">
        <f>(накопительные!S15/SUM(накопительные!S$2:S$34))^$B$39</f>
        <v>3.9262918888499122E-4</v>
      </c>
      <c r="T15">
        <f>(накопительные!T15/SUM(накопительные!T$2:T$34))^$B$39</f>
        <v>4.270413445988286E-4</v>
      </c>
    </row>
    <row r="16" spans="1:20" x14ac:dyDescent="0.25">
      <c r="A16" t="s">
        <v>34</v>
      </c>
      <c r="B16">
        <f>(накопительные!B16/SUM(накопительные!B$2:B$34))^$B$39</f>
        <v>5.0726402077753421E-4</v>
      </c>
      <c r="C16">
        <f>(накопительные!C16/SUM(накопительные!C$2:C$34))^$B$39</f>
        <v>1.2568119206097047E-4</v>
      </c>
      <c r="D16">
        <f>(накопительные!D16/SUM(накопительные!D$2:D$34))^$B$39</f>
        <v>2.1553786991576959E-4</v>
      </c>
      <c r="E16">
        <f>(накопительные!E16/SUM(накопительные!E$2:E$34))^$B$39</f>
        <v>1.5732978318677568E-4</v>
      </c>
      <c r="F16">
        <f>(накопительные!F16/SUM(накопительные!F$2:F$34))^$B$39</f>
        <v>3.2712387137791217E-4</v>
      </c>
      <c r="G16">
        <f>(накопительные!G16/SUM(накопительные!G$2:G$34))^$B$39</f>
        <v>2.3176701756422771E-4</v>
      </c>
      <c r="H16">
        <f>(накопительные!H16/SUM(накопительные!H$2:H$34))^$B$39</f>
        <v>2.0525283043653164E-4</v>
      </c>
      <c r="I16">
        <f>(накопительные!I16/SUM(накопительные!I$2:I$34))^$B$39</f>
        <v>1.9727723896645745E-4</v>
      </c>
      <c r="J16">
        <f>(накопительные!J16/SUM(накопительные!J$2:J$34))^$B$39</f>
        <v>1.5577015832682638E-4</v>
      </c>
      <c r="K16">
        <f>(накопительные!K16/SUM(накопительные!K$2:K$34))^$B$39</f>
        <v>1.1055156996553674E-4</v>
      </c>
      <c r="L16">
        <f>(накопительные!L16/SUM(накопительные!L$2:L$34))^$B$39</f>
        <v>8.8332728812800645E-5</v>
      </c>
      <c r="M16">
        <f>(накопительные!M16/SUM(накопительные!M$2:M$34))^$B$39</f>
        <v>7.0709238698593148E-5</v>
      </c>
      <c r="N16">
        <f>(накопительные!N16/SUM(накопительные!N$2:N$34))^$B$39</f>
        <v>6.1853779992351393E-5</v>
      </c>
      <c r="O16">
        <f>(накопительные!O16/SUM(накопительные!O$2:O$34))^$B$39</f>
        <v>4.9419691955703099E-5</v>
      </c>
      <c r="P16">
        <f>(накопительные!P16/SUM(накопительные!P$2:P$34))^$B$39</f>
        <v>4.5039490898117397E-5</v>
      </c>
      <c r="Q16">
        <f>(накопительные!Q16/SUM(накопительные!Q$2:Q$34))^$B$39</f>
        <v>4.3199516939643798E-5</v>
      </c>
      <c r="R16">
        <f>(накопительные!R16/SUM(накопительные!R$2:R$34))^$B$39</f>
        <v>3.4821798122165401E-5</v>
      </c>
      <c r="S16">
        <f>(накопительные!S16/SUM(накопительные!S$2:S$34))^$B$39</f>
        <v>3.2433150086408666E-5</v>
      </c>
      <c r="T16">
        <f>(накопительные!T16/SUM(накопительные!T$2:T$34))^$B$39</f>
        <v>4.7170949285826735E-5</v>
      </c>
    </row>
    <row r="17" spans="1:20" x14ac:dyDescent="0.25">
      <c r="A17" t="s">
        <v>35</v>
      </c>
      <c r="B17">
        <f>(накопительные!B17/SUM(накопительные!B$2:B$34))^$B$39</f>
        <v>0</v>
      </c>
      <c r="C17">
        <f>(накопительные!C17/SUM(накопительные!C$2:C$34))^$B$39</f>
        <v>0</v>
      </c>
      <c r="D17">
        <f>(накопительные!D17/SUM(накопительные!D$2:D$34))^$B$39</f>
        <v>0</v>
      </c>
      <c r="E17">
        <f>(накопительные!E17/SUM(накопительные!E$2:E$34))^$B$39</f>
        <v>0</v>
      </c>
      <c r="F17">
        <f>(накопительные!F17/SUM(накопительные!F$2:F$34))^$B$39</f>
        <v>3.500731084900368E-6</v>
      </c>
      <c r="G17">
        <f>(накопительные!G17/SUM(накопительные!G$2:G$34))^$B$39</f>
        <v>2.4802653484875732E-6</v>
      </c>
      <c r="H17">
        <f>(накопительные!H17/SUM(накопительные!H$2:H$34))^$B$39</f>
        <v>1.9222429489373406E-6</v>
      </c>
      <c r="I17">
        <f>(накопительные!I17/SUM(накопительные!I$2:I$34))^$B$39</f>
        <v>1.6303904046814658E-6</v>
      </c>
      <c r="J17">
        <f>(накопительные!J17/SUM(накопительные!J$2:J$34))^$B$39</f>
        <v>1.2642655492803048E-6</v>
      </c>
      <c r="K17">
        <f>(накопительные!K17/SUM(накопительные!K$2:K$34))^$B$39</f>
        <v>8.9726134214379308E-7</v>
      </c>
      <c r="L17">
        <f>(накопительные!L17/SUM(накопительные!L$2:L$34))^$B$39</f>
        <v>7.1692824294132479E-7</v>
      </c>
      <c r="M17">
        <f>(накопительные!M17/SUM(накопительные!M$2:M$34))^$B$39</f>
        <v>5.7389204365386852E-7</v>
      </c>
      <c r="N17">
        <f>(накопительные!N17/SUM(накопительные!N$2:N$34))^$B$39</f>
        <v>5.0201915422734655E-7</v>
      </c>
      <c r="O17">
        <f>(накопительные!O17/SUM(накопительные!O$2:O$34))^$B$39</f>
        <v>4.0110130635259386E-7</v>
      </c>
      <c r="P17">
        <f>(накопительные!P17/SUM(накопительные!P$2:P$34))^$B$39</f>
        <v>2.450107878077598E-6</v>
      </c>
      <c r="Q17">
        <f>(накопительные!Q17/SUM(накопительные!Q$2:Q$34))^$B$39</f>
        <v>2.0981938727145251E-6</v>
      </c>
      <c r="R17">
        <f>(накопительные!R17/SUM(накопительные!R$2:R$34))^$B$39</f>
        <v>5.5561498191420403E-6</v>
      </c>
      <c r="S17">
        <f>(накопительные!S17/SUM(накопительные!S$2:S$34))^$B$39</f>
        <v>5.1750182559383654E-6</v>
      </c>
      <c r="T17">
        <f>(накопительные!T17/SUM(накопительные!T$2:T$34))^$B$39</f>
        <v>4.83297130600757E-6</v>
      </c>
    </row>
    <row r="18" spans="1:20" x14ac:dyDescent="0.25">
      <c r="A18" t="s">
        <v>36</v>
      </c>
      <c r="B18">
        <f>(накопительные!B18/SUM(накопительные!B$2:B$34))^$B$39</f>
        <v>0</v>
      </c>
      <c r="C18">
        <f>(накопительные!C18/SUM(накопительные!C$2:C$34))^$B$39</f>
        <v>0</v>
      </c>
      <c r="D18">
        <f>(накопительные!D18/SUM(накопительные!D$2:D$34))^$B$39</f>
        <v>1.099683009774335E-6</v>
      </c>
      <c r="E18">
        <f>(накопительные!E18/SUM(накопительные!E$2:E$34))^$B$39</f>
        <v>3.8410591598333925E-6</v>
      </c>
      <c r="F18">
        <f>(накопительные!F18/SUM(накопительные!F$2:F$34))^$B$39</f>
        <v>3.0495257450687654E-6</v>
      </c>
      <c r="G18">
        <f>(накопительные!G18/SUM(накопительные!G$2:G$34))^$B$39</f>
        <v>2.1605867035713977E-6</v>
      </c>
      <c r="H18">
        <f>(накопительные!H18/SUM(накопительные!H$2:H$34))^$B$39</f>
        <v>3.0841320202950224E-6</v>
      </c>
      <c r="I18">
        <f>(накопительные!I18/SUM(накопительные!I$2:I$34))^$B$39</f>
        <v>2.615870827066708E-6</v>
      </c>
      <c r="J18">
        <f>(накопительные!J18/SUM(накопительные!J$2:J$34))^$B$39</f>
        <v>6.4955154443023641E-6</v>
      </c>
      <c r="K18">
        <f>(накопительные!K18/SUM(накопительные!K$2:K$34))^$B$39</f>
        <v>4.6099293845254429E-6</v>
      </c>
      <c r="L18">
        <f>(накопительные!L18/SUM(накопительные!L$2:L$34))^$B$39</f>
        <v>3.6834179948452059E-6</v>
      </c>
      <c r="M18">
        <f>(накопительные!M18/SUM(накопительные!M$2:M$34))^$B$39</f>
        <v>7.4376408857541386E-6</v>
      </c>
      <c r="N18">
        <f>(накопительные!N18/SUM(накопительные!N$2:N$34))^$B$39</f>
        <v>9.138979803178722E-6</v>
      </c>
      <c r="O18">
        <f>(накопительные!O18/SUM(накопительные!O$2:O$34))^$B$39</f>
        <v>7.3018264480898883E-6</v>
      </c>
      <c r="P18">
        <f>(накопительные!P18/SUM(накопительные!P$2:P$34))^$B$39</f>
        <v>6.2722761678786498E-6</v>
      </c>
      <c r="Q18">
        <f>(накопительные!Q18/SUM(накопительные!Q$2:Q$34))^$B$39</f>
        <v>5.3713763141491847E-6</v>
      </c>
      <c r="R18">
        <f>(накопительные!R18/SUM(накопительные!R$2:R$34))^$B$39</f>
        <v>4.3297007675064522E-6</v>
      </c>
      <c r="S18">
        <f>(накопительные!S18/SUM(накопительные!S$2:S$34))^$B$39</f>
        <v>4.0326991251031708E-6</v>
      </c>
      <c r="T18">
        <f>(накопительные!T18/SUM(накопительные!T$2:T$34))^$B$39</f>
        <v>4.0661321965264151E-6</v>
      </c>
    </row>
    <row r="19" spans="1:20" x14ac:dyDescent="0.25">
      <c r="A19" t="s">
        <v>37</v>
      </c>
      <c r="B19">
        <f>(накопительные!B19/SUM(накопительные!B$2:B$34))^$B$39</f>
        <v>7.926000324648972E-6</v>
      </c>
      <c r="C19">
        <f>(накопительные!C19/SUM(накопительные!C$2:C$34))^$B$39</f>
        <v>4.9094215648816591E-7</v>
      </c>
      <c r="D19">
        <f>(накопительные!D19/SUM(накопительные!D$2:D$34))^$B$39</f>
        <v>1.34711168697356E-5</v>
      </c>
      <c r="E19">
        <f>(накопительные!E19/SUM(накопительные!E$2:E$34))^$B$39</f>
        <v>9.8331114491734802E-6</v>
      </c>
      <c r="F19">
        <f>(накопительные!F19/SUM(накопительные!F$2:F$34))^$B$39</f>
        <v>3.2712387137791217E-4</v>
      </c>
      <c r="G19">
        <f>(накопительные!G19/SUM(накопительные!G$2:G$34))^$B$39</f>
        <v>5.3353263496354916E-4</v>
      </c>
      <c r="H19">
        <f>(накопительные!H19/SUM(накопительные!H$2:H$34))^$B$39</f>
        <v>5.0239955295976234E-4</v>
      </c>
      <c r="I19">
        <f>(накопительные!I19/SUM(накопительные!I$2:I$34))^$B$39</f>
        <v>4.9930706143369921E-4</v>
      </c>
      <c r="J19">
        <f>(накопительные!J19/SUM(накопительные!J$2:J$34))^$B$39</f>
        <v>8.8783048198209425E-4</v>
      </c>
      <c r="K19">
        <f>(накопительные!K19/SUM(накопительные!K$2:K$34))^$B$39</f>
        <v>6.3562242716728012E-3</v>
      </c>
      <c r="L19">
        <f>(накопительные!L19/SUM(накопительные!L$2:L$34))^$B$39</f>
        <v>1.0583473954360574E-2</v>
      </c>
      <c r="M19">
        <f>(накопительные!M19/SUM(накопительные!M$2:M$34))^$B$39</f>
        <v>1.4722259834646234E-2</v>
      </c>
      <c r="N19">
        <f>(накопительные!N19/SUM(накопительные!N$2:N$34))^$B$39</f>
        <v>1.569815289766564E-2</v>
      </c>
      <c r="O19">
        <f>(накопительные!O19/SUM(накопительные!O$2:O$34))^$B$39</f>
        <v>2.6183993554023923E-2</v>
      </c>
      <c r="P19">
        <f>(накопительные!P19/SUM(накопительные!P$2:P$34))^$B$39</f>
        <v>2.4287163307405234E-2</v>
      </c>
      <c r="Q19">
        <f>(накопительные!Q19/SUM(накопительные!Q$2:Q$34))^$B$39</f>
        <v>2.1165932298428728E-2</v>
      </c>
      <c r="R19">
        <f>(накопительные!R19/SUM(накопительные!R$2:R$34))^$B$39</f>
        <v>1.7061205165628465E-2</v>
      </c>
      <c r="S19">
        <f>(накопительные!S19/SUM(накопительные!S$2:S$34))^$B$39</f>
        <v>1.6049479180255462E-2</v>
      </c>
      <c r="T19">
        <f>(накопительные!T19/SUM(накопительные!T$2:T$34))^$B$39</f>
        <v>1.5025822724296818E-2</v>
      </c>
    </row>
    <row r="20" spans="1:20" x14ac:dyDescent="0.25">
      <c r="A20" t="s">
        <v>38</v>
      </c>
      <c r="B20">
        <f>(накопительные!B20/SUM(накопительные!B$2:B$34))^$B$39</f>
        <v>2.85336011687363E-6</v>
      </c>
      <c r="C20">
        <f>(накопительные!C20/SUM(накопительные!C$2:C$34))^$B$39</f>
        <v>1.7673917633573968E-7</v>
      </c>
      <c r="D20">
        <f>(накопительные!D20/SUM(накопительные!D$2:D$34))^$B$39</f>
        <v>7.037971262555744E-7</v>
      </c>
      <c r="E20">
        <f>(накопительные!E20/SUM(накопительные!E$2:E$34))^$B$39</f>
        <v>3.933244579669393E-7</v>
      </c>
      <c r="F20">
        <f>(накопительные!F20/SUM(накопительные!F$2:F$34))^$B$39</f>
        <v>6.5735950372018024E-7</v>
      </c>
      <c r="G20">
        <f>(накопительные!G20/SUM(накопительные!G$2:G$34))^$B$39</f>
        <v>2.3835349998965585E-5</v>
      </c>
      <c r="H20">
        <f>(накопительные!H20/SUM(накопительные!H$2:H$34))^$B$39</f>
        <v>1.8472754739287847E-5</v>
      </c>
      <c r="I20">
        <f>(накопительные!I20/SUM(накопительные!I$2:I$34))^$B$39</f>
        <v>2.7406862702695449E-5</v>
      </c>
      <c r="J20">
        <f>(накопительные!J20/SUM(накопительные!J$2:J$34))^$B$39</f>
        <v>2.1252303883401924E-5</v>
      </c>
      <c r="K20">
        <f>(накопительные!K20/SUM(накопительные!K$2:K$34))^$B$39</f>
        <v>1.5082963161437163E-5</v>
      </c>
      <c r="L20">
        <f>(накопительные!L20/SUM(накопительные!L$2:L$34))^$B$39</f>
        <v>1.205156376384367E-5</v>
      </c>
      <c r="M20">
        <f>(накопительные!M20/SUM(накопительные!M$2:M$34))^$B$39</f>
        <v>1.2143555643715857E-5</v>
      </c>
      <c r="N20">
        <f>(накопительные!N20/SUM(накопительные!N$2:N$34))^$B$39</f>
        <v>1.0622725303450654E-5</v>
      </c>
      <c r="O20">
        <f>(накопительные!O20/SUM(накопительные!O$2:O$34))^$B$39</f>
        <v>9.7619144603857956E-6</v>
      </c>
      <c r="P20">
        <f>(накопительные!P20/SUM(накопительные!P$2:P$34))^$B$39</f>
        <v>8.9616523934247621E-6</v>
      </c>
      <c r="Q20">
        <f>(накопительные!Q20/SUM(накопительные!Q$2:Q$34))^$B$39</f>
        <v>8.7104551568987835E-6</v>
      </c>
      <c r="R20">
        <f>(накопительные!R20/SUM(накопительные!R$2:R$34))^$B$39</f>
        <v>7.021229229240658E-6</v>
      </c>
      <c r="S20">
        <f>(накопительные!S20/SUM(накопительные!S$2:S$34))^$B$39</f>
        <v>6.5395985751261067E-6</v>
      </c>
      <c r="T20">
        <f>(накопительные!T20/SUM(накопительные!T$2:T$34))^$B$39</f>
        <v>6.1073586030589815E-6</v>
      </c>
    </row>
    <row r="21" spans="1:20" x14ac:dyDescent="0.25">
      <c r="A21" t="s">
        <v>39</v>
      </c>
      <c r="B21">
        <f>(накопительные!B21/SUM(накопительные!B$2:B$34))^$B$39</f>
        <v>2.8533601168736296E-4</v>
      </c>
      <c r="C21">
        <f>(накопительные!C21/SUM(накопительные!C$2:C$34))^$B$39</f>
        <v>1.2568119206097047E-4</v>
      </c>
      <c r="D21">
        <f>(накопительные!D21/SUM(накопительные!D$2:D$34))^$B$39</f>
        <v>9.8971470879690121E-4</v>
      </c>
      <c r="E21">
        <f>(накопительные!E21/SUM(накопительные!E$2:E$34))^$B$39</f>
        <v>7.9648202738305215E-4</v>
      </c>
      <c r="F21">
        <f>(накопительные!F21/SUM(накопительные!F$2:F$34))^$B$39</f>
        <v>9.3391725942730932E-4</v>
      </c>
      <c r="G21">
        <f>(накопительные!G21/SUM(накопительные!G$2:G$34))^$B$39</f>
        <v>8.6423468142855916E-4</v>
      </c>
      <c r="H21">
        <f>(накопительные!H21/SUM(накопительные!H$2:H$34))^$B$39</f>
        <v>7.5613562221949122E-4</v>
      </c>
      <c r="I21">
        <f>(накопительные!I21/SUM(накопительные!I$2:I$34))^$B$39</f>
        <v>6.4781570030634573E-4</v>
      </c>
      <c r="J21">
        <f>(накопительные!J21/SUM(накопительные!J$2:J$34))^$B$39</f>
        <v>6.6492501350948522E-4</v>
      </c>
      <c r="K21">
        <f>(накопительные!K21/SUM(накопительные!K$2:K$34))^$B$39</f>
        <v>4.8572146104202747E-4</v>
      </c>
      <c r="L21">
        <f>(накопительные!L21/SUM(накопительные!L$2:L$34))^$B$39</f>
        <v>3.9368043335087698E-4</v>
      </c>
      <c r="M21">
        <f>(накопительные!M21/SUM(накопительные!M$2:M$34))^$B$39</f>
        <v>3.1513623666903868E-4</v>
      </c>
      <c r="N21">
        <f>(накопительные!N21/SUM(накопительные!N$2:N$34))^$B$39</f>
        <v>2.7566931576838093E-4</v>
      </c>
      <c r="O21">
        <f>(накопительные!O21/SUM(накопительные!O$2:O$34))^$B$39</f>
        <v>2.5269783401519769E-4</v>
      </c>
      <c r="P21">
        <f>(накопительные!P21/SUM(накопительные!P$2:P$34))^$B$39</f>
        <v>2.5930142483600332E-4</v>
      </c>
      <c r="Q21">
        <f>(накопительные!Q21/SUM(накопительные!Q$2:Q$34))^$B$39</f>
        <v>2.6732596368066858E-4</v>
      </c>
      <c r="R21">
        <f>(накопительные!R21/SUM(накопительные!R$2:R$34))^$B$39</f>
        <v>2.6585192501332998E-4</v>
      </c>
      <c r="S21">
        <f>(накопительные!S21/SUM(накопительные!S$2:S$34))^$B$39</f>
        <v>2.6775925967677971E-4</v>
      </c>
      <c r="T21">
        <f>(накопительные!T21/SUM(накопительные!T$2:T$34))^$B$39</f>
        <v>3.1091211255150305E-4</v>
      </c>
    </row>
    <row r="22" spans="1:20" x14ac:dyDescent="0.25">
      <c r="A22" t="s">
        <v>40</v>
      </c>
      <c r="B22">
        <f>(накопительные!B22/SUM(накопительные!B$2:B$34))^$B$39</f>
        <v>0</v>
      </c>
      <c r="C22">
        <f>(накопительные!C22/SUM(накопительные!C$2:C$34))^$B$39</f>
        <v>0</v>
      </c>
      <c r="D22">
        <f>(накопительные!D22/SUM(накопительные!D$2:D$34))^$B$39</f>
        <v>0</v>
      </c>
      <c r="E22">
        <f>(накопительные!E22/SUM(накопительные!E$2:E$34))^$B$39</f>
        <v>0</v>
      </c>
      <c r="F22">
        <f>(накопительные!F22/SUM(накопительные!F$2:F$34))^$B$39</f>
        <v>1.5558804821779415E-8</v>
      </c>
      <c r="G22">
        <f>(накопительные!G22/SUM(накопительные!G$2:G$34))^$B$39</f>
        <v>1.3503666897321236E-7</v>
      </c>
      <c r="H22">
        <f>(накопительные!H22/SUM(накопительные!H$2:H$34))^$B$39</f>
        <v>1.5570167886392464E-6</v>
      </c>
      <c r="I22">
        <f>(накопительные!I22/SUM(накопительные!I$2:I$34))^$B$39</f>
        <v>1.3206162277919875E-6</v>
      </c>
      <c r="J22">
        <f>(накопительные!J22/SUM(накопительные!J$2:J$34))^$B$39</f>
        <v>1.0632473269447362E-5</v>
      </c>
      <c r="K22">
        <f>(накопительные!K22/SUM(накопительные!K$2:K$34))^$B$39</f>
        <v>7.5459678874293012E-6</v>
      </c>
      <c r="L22">
        <f>(накопительные!L22/SUM(накопительные!L$2:L$34))^$B$39</f>
        <v>6.0293665231365417E-6</v>
      </c>
      <c r="M22">
        <f>(накопительные!M22/SUM(накопительные!M$2:M$34))^$B$39</f>
        <v>4.8264320871290346E-6</v>
      </c>
      <c r="N22">
        <f>(накопительные!N22/SUM(накопительные!N$2:N$34))^$B$39</f>
        <v>4.2219810870519859E-6</v>
      </c>
      <c r="O22">
        <f>(накопительные!O22/SUM(накопительные!O$2:O$34))^$B$39</f>
        <v>3.3732619864253146E-6</v>
      </c>
      <c r="P22">
        <f>(накопительные!P22/SUM(накопительные!P$2:P$34))^$B$39</f>
        <v>2.8976353951827086E-6</v>
      </c>
      <c r="Q22">
        <f>(накопительные!Q22/SUM(накопительные!Q$2:Q$34))^$B$39</f>
        <v>2.4814420972775373E-6</v>
      </c>
      <c r="R22">
        <f>(накопительные!R22/SUM(накопительные!R$2:R$34))^$B$39</f>
        <v>2.000213934891134E-6</v>
      </c>
      <c r="S22">
        <f>(накопительные!S22/SUM(накопительные!S$2:S$34))^$B$39</f>
        <v>1.8630065721378109E-6</v>
      </c>
      <c r="T22">
        <f>(накопительные!T22/SUM(накопительные!T$2:T$34))^$B$39</f>
        <v>1.7398696701627247E-6</v>
      </c>
    </row>
    <row r="23" spans="1:20" x14ac:dyDescent="0.25">
      <c r="A23" t="s">
        <v>41</v>
      </c>
      <c r="B23">
        <f>(накопительные!B23/SUM(накопительные!B$2:B$34))^$B$39</f>
        <v>0</v>
      </c>
      <c r="C23">
        <f>(накопительные!C23/SUM(накопительные!C$2:C$34))^$B$39</f>
        <v>3.1420298015242618E-5</v>
      </c>
      <c r="D23">
        <f>(накопительные!D23/SUM(накопительные!D$2:D$34))^$B$39</f>
        <v>3.958858835187607E-5</v>
      </c>
      <c r="E23">
        <f>(накопительные!E23/SUM(накопительные!E$2:E$34))^$B$39</f>
        <v>8.8498003042561366E-5</v>
      </c>
      <c r="F23">
        <f>(накопительные!F23/SUM(накопительные!F$2:F$34))^$B$39</f>
        <v>5.6011697358405908E-5</v>
      </c>
      <c r="G23">
        <f>(накопительные!G23/SUM(накопительные!G$2:G$34))^$B$39</f>
        <v>4.6573871543822236E-5</v>
      </c>
      <c r="H23">
        <f>(накопительные!H23/SUM(накопительные!H$2:H$34))^$B$39</f>
        <v>4.8056073723433535E-5</v>
      </c>
      <c r="I23">
        <f>(накопительные!I23/SUM(накопительные!I$2:I$34))^$B$39</f>
        <v>4.6375549288717283E-5</v>
      </c>
      <c r="J23">
        <f>(накопительные!J23/SUM(накопительные!J$2:J$34))^$B$39</f>
        <v>3.732252375425382E-5</v>
      </c>
      <c r="K23">
        <f>(накопительные!K23/SUM(накопительные!K$2:K$34))^$B$39</f>
        <v>2.6488151777131608E-5</v>
      </c>
      <c r="L23">
        <f>(накопительные!L23/SUM(накопительные!L$2:L$34))^$B$39</f>
        <v>2.116451831856452E-5</v>
      </c>
      <c r="M23">
        <f>(накопительные!M23/SUM(накопительные!M$2:M$34))^$B$39</f>
        <v>1.6941930786488492E-5</v>
      </c>
      <c r="N23">
        <f>(накопительные!N23/SUM(накопительные!N$2:N$34))^$B$39</f>
        <v>1.4820163231851532E-5</v>
      </c>
      <c r="O23">
        <f>(накопительные!O23/SUM(накопительные!O$2:O$34))^$B$39</f>
        <v>1.1840956231646745E-5</v>
      </c>
      <c r="P23">
        <f>(накопительные!P23/SUM(накопительные!P$2:P$34))^$B$39</f>
        <v>1.0171393158225581E-5</v>
      </c>
      <c r="Q23">
        <f>(накопительные!Q23/SUM(накопительные!Q$2:Q$34))^$B$39</f>
        <v>8.7104551568987852E-6</v>
      </c>
      <c r="R23">
        <f>(накопительные!R23/SUM(накопительные!R$2:R$34))^$B$39</f>
        <v>7.0212292292406605E-6</v>
      </c>
      <c r="S23">
        <f>(накопительные!S23/SUM(накопительные!S$2:S$34))^$B$39</f>
        <v>6.5395985751261084E-6</v>
      </c>
      <c r="T23">
        <f>(накопительные!T23/SUM(накопительные!T$2:T$34))^$B$39</f>
        <v>8.5623471190238276E-6</v>
      </c>
    </row>
    <row r="24" spans="1:20" x14ac:dyDescent="0.25">
      <c r="A24" t="s">
        <v>42</v>
      </c>
      <c r="B24">
        <f>(накопительные!B24/SUM(накопительные!B$2:B$34))^$B$39</f>
        <v>0</v>
      </c>
      <c r="C24">
        <f>(накопительные!C24/SUM(накопительные!C$2:C$34))^$B$39</f>
        <v>0</v>
      </c>
      <c r="D24">
        <f>(накопительные!D24/SUM(накопительные!D$2:D$34))^$B$39</f>
        <v>0</v>
      </c>
      <c r="E24">
        <f>(накопительные!E24/SUM(накопительные!E$2:E$34))^$B$39</f>
        <v>0</v>
      </c>
      <c r="F24">
        <f>(накопительные!F24/SUM(накопительные!F$2:F$34))^$B$39</f>
        <v>6.8614329264047225E-4</v>
      </c>
      <c r="G24">
        <f>(накопительные!G24/SUM(накопительные!G$2:G$34))^$B$39</f>
        <v>2.4350694021373562E-3</v>
      </c>
      <c r="H24">
        <f>(накопительные!H24/SUM(накопительные!H$2:H$34))^$B$39</f>
        <v>1.8872154107567049E-3</v>
      </c>
      <c r="I24">
        <f>(накопительные!I24/SUM(накопительные!I$2:I$34))^$B$39</f>
        <v>4.4652770094437176E-3</v>
      </c>
      <c r="J24">
        <f>(накопительные!J24/SUM(накопительные!J$2:J$34))^$B$39</f>
        <v>3.8709001639964527E-3</v>
      </c>
      <c r="K24">
        <f>(накопительные!K24/SUM(накопительные!K$2:K$34))^$B$39</f>
        <v>2.7472148382349285E-3</v>
      </c>
      <c r="L24">
        <f>(накопительные!L24/SUM(накопительные!L$2:L$34))^$B$39</f>
        <v>2.1950749624990162E-3</v>
      </c>
      <c r="M24">
        <f>(накопительные!M24/SUM(накопительные!M$2:M$34))^$B$39</f>
        <v>1.757129906102889E-3</v>
      </c>
      <c r="N24">
        <f>(накопительные!N24/SUM(накопительные!N$2:N$34))^$B$39</f>
        <v>1.5370710904320849E-3</v>
      </c>
      <c r="O24">
        <f>(накопительные!O24/SUM(накопительные!O$2:O$34))^$B$39</f>
        <v>1.2280830664280083E-3</v>
      </c>
      <c r="P24">
        <f>(накопительные!P24/SUM(накопительные!P$2:P$34))^$B$39</f>
        <v>1.0549245732547851E-3</v>
      </c>
      <c r="Q24">
        <f>(накопительные!Q24/SUM(накопительные!Q$2:Q$34))^$B$39</f>
        <v>9.0340359932064736E-4</v>
      </c>
      <c r="R24">
        <f>(накопительные!R24/SUM(накопительные!R$2:R$34))^$B$39</f>
        <v>7.5476430432587743E-4</v>
      </c>
      <c r="S24">
        <f>(накопительные!S24/SUM(накопительные!S$2:S$34))^$B$39</f>
        <v>7.0299023261762462E-4</v>
      </c>
      <c r="T24">
        <f>(накопительные!T24/SUM(накопительные!T$2:T$34))^$B$39</f>
        <v>6.565255337497365E-4</v>
      </c>
    </row>
    <row r="25" spans="1:20" x14ac:dyDescent="0.25">
      <c r="A25" t="s">
        <v>43</v>
      </c>
      <c r="B25">
        <f>(накопительные!B25/SUM(накопительные!B$2:B$34))^$B$39</f>
        <v>7.926000324648972E-6</v>
      </c>
      <c r="C25">
        <f>(накопительные!C25/SUM(накопительные!C$2:C$34))^$B$39</f>
        <v>5.9404000935068079E-5</v>
      </c>
      <c r="D25">
        <f>(накопительные!D25/SUM(накопительные!D$2:D$34))^$B$39</f>
        <v>1.2124005182762041E-4</v>
      </c>
      <c r="E25">
        <f>(накопительные!E25/SUM(накопительные!E$2:E$34))^$B$39</f>
        <v>8.1276811822074597E-5</v>
      </c>
      <c r="F25">
        <f>(накопительные!F25/SUM(накопительные!F$2:F$34))^$B$39</f>
        <v>5.6011697358405908E-5</v>
      </c>
      <c r="G25">
        <f>(накопительные!G25/SUM(накопительные!G$2:G$34))^$B$39</f>
        <v>4.6573871543822236E-5</v>
      </c>
      <c r="H25">
        <f>(накопительные!H25/SUM(накопительные!H$2:H$34))^$B$39</f>
        <v>3.6095450930045636E-5</v>
      </c>
      <c r="I25">
        <f>(накопительные!I25/SUM(накопительные!I$2:I$34))^$B$39</f>
        <v>3.0615108710129769E-5</v>
      </c>
      <c r="J25">
        <f>(накопительные!J25/SUM(накопительные!J$2:J$34))^$B$39</f>
        <v>3.1606638732007629E-5</v>
      </c>
      <c r="K25">
        <f>(накопительные!K25/SUM(накопительные!K$2:K$34))^$B$39</f>
        <v>2.2431533553594839E-5</v>
      </c>
      <c r="L25">
        <f>(накопительные!L25/SUM(накопительные!L$2:L$34))^$B$39</f>
        <v>1.7923206073533127E-5</v>
      </c>
      <c r="M25">
        <f>(накопительные!M25/SUM(накопительные!M$2:M$34))^$B$39</f>
        <v>1.4347301091346722E-5</v>
      </c>
      <c r="N25">
        <f>(накопительные!N25/SUM(накопительные!N$2:N$34))^$B$39</f>
        <v>1.2550478855683672E-5</v>
      </c>
      <c r="O25">
        <f>(накопительные!O25/SUM(накопительные!O$2:O$34))^$B$39</f>
        <v>1.002753265881485E-5</v>
      </c>
      <c r="P25">
        <f>(накопительные!P25/SUM(накопительные!P$2:P$34))^$B$39</f>
        <v>8.6136605088665567E-6</v>
      </c>
      <c r="Q25">
        <f>(накопительные!Q25/SUM(накопительные!Q$2:Q$34))^$B$39</f>
        <v>7.3764628337620042E-6</v>
      </c>
      <c r="R25">
        <f>(накопительные!R25/SUM(накопительные!R$2:R$34))^$B$39</f>
        <v>5.9459391643612802E-6</v>
      </c>
      <c r="S25">
        <f>(накопительные!S25/SUM(накопительные!S$2:S$34))^$B$39</f>
        <v>5.5380694772229836E-6</v>
      </c>
      <c r="T25">
        <f>(накопительные!T25/SUM(накопительные!T$2:T$34))^$B$39</f>
        <v>5.1720263679034625E-6</v>
      </c>
    </row>
    <row r="26" spans="1:20" x14ac:dyDescent="0.25">
      <c r="A26" t="s">
        <v>44</v>
      </c>
      <c r="B26">
        <f>(накопительные!B26/SUM(накопительные!B$2:B$34))^$B$39</f>
        <v>1.9815000811622428E-2</v>
      </c>
      <c r="C26">
        <f>(накопительные!C26/SUM(накопительные!C$2:C$34))^$B$39</f>
        <v>2.6883992489291964E-3</v>
      </c>
      <c r="D26">
        <f>(накопительные!D26/SUM(накопительные!D$2:D$34))^$B$39</f>
        <v>2.6403389064681786E-3</v>
      </c>
      <c r="E26">
        <f>(накопительные!E26/SUM(накопительные!E$2:E$34))^$B$39</f>
        <v>2.4392262088605973E-3</v>
      </c>
      <c r="F26">
        <f>(накопительные!F26/SUM(накопительные!F$2:F$34))^$B$39</f>
        <v>5.8847289537175204E-3</v>
      </c>
      <c r="G26">
        <f>(накопительные!G26/SUM(накопительные!G$2:G$34))^$B$39</f>
        <v>9.1284788225891571E-3</v>
      </c>
      <c r="H26">
        <f>(накопительные!H26/SUM(накопительные!H$2:H$34))^$B$39</f>
        <v>7.9557364005518917E-3</v>
      </c>
      <c r="I26">
        <f>(накопительные!I26/SUM(накопительные!I$2:I$34))^$B$39</f>
        <v>7.0661573025118281E-3</v>
      </c>
      <c r="J26">
        <f>(накопительные!J26/SUM(накопительные!J$2:J$34))^$B$39</f>
        <v>8.2607462174849929E-3</v>
      </c>
      <c r="K26">
        <f>(накопительные!K26/SUM(накопительные!K$2:K$34))^$B$39</f>
        <v>7.2947596355552114E-3</v>
      </c>
      <c r="L26">
        <f>(накопительные!L26/SUM(накопительные!L$2:L$34))^$B$39</f>
        <v>5.8286465297863865E-3</v>
      </c>
      <c r="M26">
        <f>(накопительные!M26/SUM(накопительные!M$2:M$34))^$B$39</f>
        <v>4.6657582563516108E-3</v>
      </c>
      <c r="N26">
        <f>(накопительные!N26/SUM(накопительные!N$2:N$34))^$B$39</f>
        <v>8.3325278668420089E-3</v>
      </c>
      <c r="O26">
        <f>(накопительные!O26/SUM(накопительные!O$2:O$34))^$B$39</f>
        <v>8.7659464916034456E-3</v>
      </c>
      <c r="P26">
        <f>(накопительные!P26/SUM(накопительные!P$2:P$34))^$B$39</f>
        <v>1.536379384957543E-2</v>
      </c>
      <c r="Q26">
        <f>(накопительные!Q26/SUM(накопительные!Q$2:Q$34))^$B$39</f>
        <v>2.7059234338415651E-2</v>
      </c>
      <c r="R26">
        <f>(накопительные!R26/SUM(накопительные!R$2:R$34))^$B$39</f>
        <v>4.4283511655021854E-2</v>
      </c>
      <c r="S26">
        <f>(накопительные!S26/SUM(накопительные!S$2:S$34))^$B$39</f>
        <v>4.7761517240034926E-2</v>
      </c>
      <c r="T26">
        <f>(накопительные!T26/SUM(накопительные!T$2:T$34))^$B$39</f>
        <v>4.9267481894320085E-2</v>
      </c>
    </row>
    <row r="27" spans="1:20" x14ac:dyDescent="0.25">
      <c r="A27" t="s">
        <v>45</v>
      </c>
      <c r="B27">
        <f>(накопительные!B27/SUM(накопительные!B$2:B$34))^$B$39</f>
        <v>0</v>
      </c>
      <c r="C27">
        <f>(накопительные!C27/SUM(накопительные!C$2:C$34))^$B$39</f>
        <v>0</v>
      </c>
      <c r="D27">
        <f>(накопительные!D27/SUM(накопительные!D$2:D$34))^$B$39</f>
        <v>0</v>
      </c>
      <c r="E27">
        <f>(накопительные!E27/SUM(накопительные!E$2:E$34))^$B$39</f>
        <v>0</v>
      </c>
      <c r="F27">
        <f>(накопительные!F27/SUM(накопительные!F$2:F$34))^$B$39</f>
        <v>9.7242530136121337E-6</v>
      </c>
      <c r="G27">
        <f>(накопительные!G27/SUM(накопительные!G$2:G$34))^$B$39</f>
        <v>3.6446121370831283E-5</v>
      </c>
      <c r="H27">
        <f>(накопительные!H27/SUM(накопительные!H$2:H$34))^$B$39</f>
        <v>1.2820292556662657E-4</v>
      </c>
      <c r="I27">
        <f>(накопительные!I27/SUM(накопительные!I$2:I$34))^$B$39</f>
        <v>1.0873798226778337E-4</v>
      </c>
      <c r="J27">
        <f>(накопительные!J27/SUM(накопительные!J$2:J$34))^$B$39</f>
        <v>1.2224745491790949E-4</v>
      </c>
      <c r="K27">
        <f>(накопительные!K27/SUM(накопительные!K$2:K$34))^$B$39</f>
        <v>8.6760187000070677E-5</v>
      </c>
      <c r="L27">
        <f>(накопительные!L27/SUM(накопительные!L$2:L$34))^$B$39</f>
        <v>8.4139495178530479E-5</v>
      </c>
      <c r="M27">
        <f>(накопительные!M27/SUM(накопительные!M$2:M$34))^$B$39</f>
        <v>3.2598662224105442E-4</v>
      </c>
      <c r="N27">
        <f>(накопительные!N27/SUM(накопительные!N$2:N$34))^$B$39</f>
        <v>5.1943642988373448E-4</v>
      </c>
      <c r="O27">
        <f>(накопительные!O27/SUM(накопительные!O$2:O$34))^$B$39</f>
        <v>4.866807267441015E-4</v>
      </c>
      <c r="P27">
        <f>(накопительные!P27/SUM(накопительные!P$2:P$34))^$B$39</f>
        <v>4.1805922743088888E-4</v>
      </c>
      <c r="Q27">
        <f>(накопительные!Q27/SUM(накопительные!Q$2:Q$34))^$B$39</f>
        <v>3.5801252560173108E-4</v>
      </c>
      <c r="R27">
        <f>(накопительные!R27/SUM(накопительные!R$2:R$34))^$B$39</f>
        <v>3.344590779953219E-4</v>
      </c>
      <c r="S27">
        <f>(накопительные!S27/SUM(накопительные!S$2:S$34))^$B$39</f>
        <v>3.3406250427662061E-4</v>
      </c>
      <c r="T27">
        <f>(накопительные!T27/SUM(накопительные!T$2:T$34))^$B$39</f>
        <v>3.7367890508102527E-4</v>
      </c>
    </row>
    <row r="28" spans="1:20" x14ac:dyDescent="0.25">
      <c r="A28" t="s">
        <v>46</v>
      </c>
      <c r="B28">
        <f>(накопительные!B28/SUM(накопительные!B$2:B$34))^$B$39</f>
        <v>0</v>
      </c>
      <c r="C28">
        <f>(накопительные!C28/SUM(накопительные!C$2:C$34))^$B$39</f>
        <v>0</v>
      </c>
      <c r="D28">
        <f>(накопительные!D28/SUM(накопительные!D$2:D$34))^$B$39</f>
        <v>0</v>
      </c>
      <c r="E28">
        <f>(накопительные!E28/SUM(накопительные!E$2:E$34))^$B$39</f>
        <v>0</v>
      </c>
      <c r="F28">
        <f>(накопительные!F28/SUM(накопительные!F$2:F$34))^$B$39</f>
        <v>0</v>
      </c>
      <c r="G28">
        <f>(накопительные!G28/SUM(накопительные!G$2:G$34))^$B$39</f>
        <v>6.8896259680210387E-8</v>
      </c>
      <c r="H28">
        <f>(накопительные!H28/SUM(накопительные!H$2:H$34))^$B$39</f>
        <v>4.8056073723433546E-7</v>
      </c>
      <c r="I28">
        <f>(накопительные!I28/SUM(накопительные!I$2:I$34))^$B$39</f>
        <v>4.075976011703667E-7</v>
      </c>
      <c r="J28">
        <f>(накопительные!J28/SUM(накопительные!J$2:J$34))^$B$39</f>
        <v>3.160663873200763E-7</v>
      </c>
      <c r="K28">
        <f>(накопительные!K28/SUM(накопительные!K$2:K$34))^$B$39</f>
        <v>2.2431533553594838E-7</v>
      </c>
      <c r="L28">
        <f>(накопительные!L28/SUM(накопительные!L$2:L$34))^$B$39</f>
        <v>1.7923206073533122E-7</v>
      </c>
      <c r="M28">
        <f>(накопительные!M28/SUM(накопительные!M$2:M$34))^$B$39</f>
        <v>1.4347301091346721E-7</v>
      </c>
      <c r="N28">
        <f>(накопительные!N28/SUM(накопительные!N$2:N$34))^$B$39</f>
        <v>1.2550478855683672E-7</v>
      </c>
      <c r="O28">
        <f>(накопительные!O28/SUM(накопительные!O$2:O$34))^$B$39</f>
        <v>1.0027532658814849E-7</v>
      </c>
      <c r="P28">
        <f>(накопительные!P28/SUM(накопительные!P$2:P$34))^$B$39</f>
        <v>8.6136605088665578E-8</v>
      </c>
      <c r="Q28">
        <f>(накопительные!Q28/SUM(накопительные!Q$2:Q$34))^$B$39</f>
        <v>7.3764628337620053E-8</v>
      </c>
      <c r="R28">
        <f>(накопительные!R28/SUM(накопительные!R$2:R$34))^$B$39</f>
        <v>5.9459391643612789E-8</v>
      </c>
      <c r="S28">
        <f>(накопительные!S28/SUM(накопительные!S$2:S$34))^$B$39</f>
        <v>5.538069477222982E-8</v>
      </c>
      <c r="T28">
        <f>(накопительные!T28/SUM(накопительные!T$2:T$34))^$B$39</f>
        <v>5.1720263679034633E-8</v>
      </c>
    </row>
    <row r="29" spans="1:20" x14ac:dyDescent="0.25">
      <c r="A29" t="s">
        <v>47</v>
      </c>
      <c r="B29">
        <f>(накопительные!B29/SUM(накопительные!B$2:B$34))^$B$39</f>
        <v>0</v>
      </c>
      <c r="C29">
        <f>(накопительные!C29/SUM(накопительные!C$2:C$34))^$B$39</f>
        <v>0</v>
      </c>
      <c r="D29">
        <f>(накопительные!D29/SUM(накопительные!D$2:D$34))^$B$39</f>
        <v>0</v>
      </c>
      <c r="E29">
        <f>(накопительные!E29/SUM(накопительные!E$2:E$34))^$B$39</f>
        <v>0</v>
      </c>
      <c r="F29">
        <f>(накопительные!F29/SUM(накопительные!F$2:F$34))^$B$39</f>
        <v>1.5558804821779415E-8</v>
      </c>
      <c r="G29">
        <f>(накопительные!G29/SUM(накопительные!G$2:G$34))^$B$39</f>
        <v>1.3503666897321236E-7</v>
      </c>
      <c r="H29">
        <f>(накопительные!H29/SUM(накопительные!H$2:H$34))^$B$39</f>
        <v>1.0465544944214414E-7</v>
      </c>
      <c r="I29">
        <f>(накопительные!I29/SUM(накопительные!I$2:I$34))^$B$39</f>
        <v>4.0017026710459551E-6</v>
      </c>
      <c r="J29">
        <f>(накопительные!J29/SUM(накопительные!J$2:J$34))^$B$39</f>
        <v>3.1030695537335487E-6</v>
      </c>
      <c r="K29">
        <f>(накопительные!K29/SUM(накопительные!K$2:K$34))^$B$39</f>
        <v>2.202278116439599E-6</v>
      </c>
      <c r="L29">
        <f>(накопительные!L29/SUM(накопительные!L$2:L$34))^$B$39</f>
        <v>1.7596605429526517E-6</v>
      </c>
      <c r="M29">
        <f>(накопительные!M29/SUM(накопительные!M$2:M$34))^$B$39</f>
        <v>1.4085861382571067E-6</v>
      </c>
      <c r="N29">
        <f>(накопительные!N29/SUM(накопительные!N$2:N$34))^$B$39</f>
        <v>1.2321781240980101E-6</v>
      </c>
      <c r="O29">
        <f>(накопительные!O29/SUM(накопительные!O$2:O$34))^$B$39</f>
        <v>9.8448087303653341E-7</v>
      </c>
      <c r="P29">
        <f>(накопительные!P29/SUM(накопительные!P$2:P$34))^$B$39</f>
        <v>8.4567004729272091E-7</v>
      </c>
      <c r="Q29">
        <f>(накопительные!Q29/SUM(накопительные!Q$2:Q$34))^$B$39</f>
        <v>7.2420472887912278E-7</v>
      </c>
      <c r="R29">
        <f>(накопительные!R29/SUM(накопительные!R$2:R$34))^$B$39</f>
        <v>5.837590939588472E-7</v>
      </c>
      <c r="S29">
        <f>(накопительные!S29/SUM(накопительные!S$2:S$34))^$B$39</f>
        <v>5.4371535445269187E-7</v>
      </c>
      <c r="T29">
        <f>(накопительные!T29/SUM(накопительные!T$2:T$34))^$B$39</f>
        <v>5.0777805540883321E-7</v>
      </c>
    </row>
    <row r="30" spans="1:20" x14ac:dyDescent="0.25">
      <c r="A30" t="s">
        <v>48</v>
      </c>
      <c r="B30">
        <f>(накопительные!B30/SUM(накопительные!B$2:B$34))^$B$39</f>
        <v>0</v>
      </c>
      <c r="C30">
        <f>(накопительные!C30/SUM(накопительные!C$2:C$34))^$B$39</f>
        <v>1.767391763357397E-5</v>
      </c>
      <c r="D30">
        <f>(накопительные!D30/SUM(накопительные!D$2:D$34))^$B$39</f>
        <v>9.8971470879690124E-6</v>
      </c>
      <c r="E30">
        <f>(накопительные!E30/SUM(накопительные!E$2:E$34))^$B$39</f>
        <v>6.1456946557334279E-5</v>
      </c>
      <c r="F30">
        <f>(накопительные!F30/SUM(накопительные!F$2:F$34))^$B$39</f>
        <v>3.8897012054448535E-5</v>
      </c>
      <c r="G30">
        <f>(накопительные!G30/SUM(накопительные!G$2:G$34))^$B$39</f>
        <v>2.7558503872084149E-5</v>
      </c>
      <c r="H30">
        <f>(накопительные!H30/SUM(накопительные!H$2:H$34))^$B$39</f>
        <v>2.1358254988192674E-5</v>
      </c>
      <c r="I30">
        <f>(накопительные!I30/SUM(накопительные!I$2:I$34))^$B$39</f>
        <v>1.8115448940905178E-5</v>
      </c>
      <c r="J30">
        <f>(накопительные!J30/SUM(накопительные!J$2:J$34))^$B$39</f>
        <v>1.4047394992003387E-5</v>
      </c>
      <c r="K30">
        <f>(накопительные!K30/SUM(накопительные!K$2:K$34))^$B$39</f>
        <v>9.9695704682643686E-6</v>
      </c>
      <c r="L30">
        <f>(накопительные!L30/SUM(накопительные!L$2:L$34))^$B$39</f>
        <v>7.96586936601472E-6</v>
      </c>
      <c r="M30">
        <f>(накопительные!M30/SUM(накопительные!M$2:M$34))^$B$39</f>
        <v>6.3765782628207616E-6</v>
      </c>
      <c r="N30">
        <f>(накопительные!N30/SUM(накопительные!N$2:N$34))^$B$39</f>
        <v>5.5779906025260746E-6</v>
      </c>
      <c r="O30">
        <f>(накопительные!O30/SUM(накопительные!O$2:O$34))^$B$39</f>
        <v>4.456681181695488E-6</v>
      </c>
      <c r="P30">
        <f>(накопительные!P30/SUM(накопительные!P$2:P$34))^$B$39</f>
        <v>3.8282935594962464E-6</v>
      </c>
      <c r="Q30">
        <f>(накопительные!Q30/SUM(накопительные!Q$2:Q$34))^$B$39</f>
        <v>3.2784279261164451E-6</v>
      </c>
      <c r="R30">
        <f>(накопительные!R30/SUM(накопительные!R$2:R$34))^$B$39</f>
        <v>2.642639628605012E-6</v>
      </c>
      <c r="S30">
        <f>(накопительные!S30/SUM(накопительные!S$2:S$34))^$B$39</f>
        <v>2.4613642120991029E-6</v>
      </c>
      <c r="T30">
        <f>(накопительные!T30/SUM(накопительные!T$2:T$34))^$B$39</f>
        <v>2.2986783857348718E-6</v>
      </c>
    </row>
    <row r="31" spans="1:20" x14ac:dyDescent="0.25">
      <c r="A31" t="s">
        <v>49</v>
      </c>
      <c r="B31">
        <f>(накопительные!B31/SUM(накопительные!B$2:B$34))^$B$39</f>
        <v>0</v>
      </c>
      <c r="C31">
        <f>(накопительные!C31/SUM(накопительные!C$2:C$34))^$B$39</f>
        <v>0</v>
      </c>
      <c r="D31">
        <f>(накопительные!D31/SUM(накопительные!D$2:D$34))^$B$39</f>
        <v>0</v>
      </c>
      <c r="E31">
        <f>(накопительные!E31/SUM(накопительные!E$2:E$34))^$B$39</f>
        <v>0</v>
      </c>
      <c r="F31">
        <f>(накопительные!F31/SUM(накопительные!F$2:F$34))^$B$39</f>
        <v>1.5558804821779414E-6</v>
      </c>
      <c r="G31">
        <f>(накопительные!G31/SUM(накопительные!G$2:G$34))^$B$39</f>
        <v>1.3503666897321234E-5</v>
      </c>
      <c r="H31">
        <f>(накопительные!H31/SUM(накопительные!H$2:H$34))^$B$39</f>
        <v>1.3669283192443309E-5</v>
      </c>
      <c r="I31">
        <f>(накопительные!I31/SUM(накопительные!I$2:I$34))^$B$39</f>
        <v>1.1593887322179314E-5</v>
      </c>
      <c r="J31">
        <f>(накопительные!J31/SUM(накопительные!J$2:J$34))^$B$39</f>
        <v>8.9903327948821673E-6</v>
      </c>
      <c r="K31">
        <f>(накопительные!K31/SUM(накопительные!K$2:K$34))^$B$39</f>
        <v>6.380525099689195E-6</v>
      </c>
      <c r="L31">
        <f>(накопительные!L31/SUM(накопительные!L$2:L$34))^$B$39</f>
        <v>5.0981563942494196E-6</v>
      </c>
      <c r="M31">
        <f>(накопительные!M31/SUM(накопительные!M$2:M$34))^$B$39</f>
        <v>4.0810100882052875E-6</v>
      </c>
      <c r="N31">
        <f>(накопительные!N31/SUM(накопительные!N$2:N$34))^$B$39</f>
        <v>3.5699139856166867E-6</v>
      </c>
      <c r="O31">
        <f>(накопительные!O31/SUM(накопительные!O$2:O$34))^$B$39</f>
        <v>2.8522759562851119E-6</v>
      </c>
      <c r="P31">
        <f>(накопительные!P31/SUM(накопительные!P$2:P$34))^$B$39</f>
        <v>2.4501078780775976E-6</v>
      </c>
      <c r="Q31">
        <f>(накопительные!Q31/SUM(накопительные!Q$2:Q$34))^$B$39</f>
        <v>2.0981938727145247E-6</v>
      </c>
      <c r="R31">
        <f>(накопительные!R31/SUM(накопительные!R$2:R$34))^$B$39</f>
        <v>1.6912893623072076E-6</v>
      </c>
      <c r="S31">
        <f>(накопительные!S31/SUM(накопительные!S$2:S$34))^$B$39</f>
        <v>1.5752730957434253E-6</v>
      </c>
      <c r="T31">
        <f>(накопительные!T31/SUM(накопительные!T$2:T$34))^$B$39</f>
        <v>1.4711541668703176E-6</v>
      </c>
    </row>
    <row r="32" spans="1:20" x14ac:dyDescent="0.25">
      <c r="A32" t="s">
        <v>50</v>
      </c>
      <c r="B32">
        <f>(накопительные!B32/SUM(накопительные!B$2:B$34))^$B$39</f>
        <v>0</v>
      </c>
      <c r="C32">
        <f>(накопительные!C32/SUM(накопительные!C$2:C$34))^$B$39</f>
        <v>0</v>
      </c>
      <c r="D32">
        <f>(накопительные!D32/SUM(накопительные!D$2:D$34))^$B$39</f>
        <v>0</v>
      </c>
      <c r="E32">
        <f>(накопительные!E32/SUM(накопительные!E$2:E$34))^$B$39</f>
        <v>0</v>
      </c>
      <c r="F32">
        <f>(накопительные!F32/SUM(накопительные!F$2:F$34))^$B$39</f>
        <v>0</v>
      </c>
      <c r="G32">
        <f>(накопительные!G32/SUM(накопительные!G$2:G$34))^$B$39</f>
        <v>0</v>
      </c>
      <c r="H32">
        <f>(накопительные!H32/SUM(накопительные!H$2:H$34))^$B$39</f>
        <v>0</v>
      </c>
      <c r="I32">
        <f>(накопительные!I32/SUM(накопительные!I$2:I$34))^$B$39</f>
        <v>0</v>
      </c>
      <c r="J32">
        <f>(накопительные!J32/SUM(накопительные!J$2:J$34))^$B$39</f>
        <v>0</v>
      </c>
      <c r="K32">
        <f>(накопительные!K32/SUM(накопительные!K$2:K$34))^$B$39</f>
        <v>0</v>
      </c>
      <c r="L32">
        <f>(накопительные!L32/SUM(накопительные!L$2:L$34))^$B$39</f>
        <v>0</v>
      </c>
      <c r="M32">
        <f>(накопительные!M32/SUM(накопительные!M$2:M$34))^$B$39</f>
        <v>0</v>
      </c>
      <c r="N32">
        <f>(накопительные!N32/SUM(накопительные!N$2:N$34))^$B$39</f>
        <v>0</v>
      </c>
      <c r="O32">
        <f>(накопительные!O32/SUM(накопительные!O$2:O$34))^$B$39</f>
        <v>0</v>
      </c>
      <c r="P32">
        <f>(накопительные!P32/SUM(накопительные!P$2:P$34))^$B$39</f>
        <v>1.5313174237984988E-7</v>
      </c>
      <c r="Q32">
        <f>(накопительные!Q32/SUM(накопительные!Q$2:Q$34))^$B$39</f>
        <v>1.3113711704465782E-7</v>
      </c>
      <c r="R32">
        <f>(накопительные!R32/SUM(накопительные!R$2:R$34))^$B$39</f>
        <v>1.0570558514420051E-7</v>
      </c>
      <c r="S32">
        <f>(накопительные!S32/SUM(накопительные!S$2:S$34))^$B$39</f>
        <v>9.8454568483964118E-8</v>
      </c>
      <c r="T32">
        <f>(накопительные!T32/SUM(накопительные!T$2:T$34))^$B$39</f>
        <v>9.1947135429394892E-8</v>
      </c>
    </row>
    <row r="33" spans="1:20" x14ac:dyDescent="0.25">
      <c r="A33" t="s">
        <v>51</v>
      </c>
      <c r="B33">
        <f>(накопительные!B33/SUM(накопительные!B$2:B$34))^$B$39</f>
        <v>0</v>
      </c>
      <c r="C33">
        <f>(накопительные!C33/SUM(накопительные!C$2:C$34))^$B$39</f>
        <v>0</v>
      </c>
      <c r="D33">
        <f>(накопительные!D33/SUM(накопительные!D$2:D$34))^$B$39</f>
        <v>0</v>
      </c>
      <c r="E33">
        <f>(накопительные!E33/SUM(накопительные!E$2:E$34))^$B$39</f>
        <v>0</v>
      </c>
      <c r="F33">
        <f>(накопительные!F33/SUM(накопительные!F$2:F$34))^$B$39</f>
        <v>0</v>
      </c>
      <c r="G33">
        <f>(накопительные!G33/SUM(накопительные!G$2:G$34))^$B$39</f>
        <v>0</v>
      </c>
      <c r="H33">
        <f>(накопительные!H33/SUM(накопительные!H$2:H$34))^$B$39</f>
        <v>0</v>
      </c>
      <c r="I33">
        <f>(накопительные!I33/SUM(накопительные!I$2:I$34))^$B$39</f>
        <v>0</v>
      </c>
      <c r="J33">
        <f>(накопительные!J33/SUM(накопительные!J$2:J$34))^$B$39</f>
        <v>0</v>
      </c>
      <c r="K33">
        <f>(накопительные!K33/SUM(накопительные!K$2:K$34))^$B$39</f>
        <v>0</v>
      </c>
      <c r="L33">
        <f>(накопительные!L33/SUM(накопительные!L$2:L$34))^$B$39</f>
        <v>0</v>
      </c>
      <c r="M33">
        <f>(накопительные!M33/SUM(накопительные!M$2:M$34))^$B$39</f>
        <v>0</v>
      </c>
      <c r="N33">
        <f>(накопительные!N33/SUM(накопительные!N$2:N$34))^$B$39</f>
        <v>0</v>
      </c>
      <c r="O33">
        <f>(накопительные!O33/SUM(накопительные!O$2:O$34))^$B$39</f>
        <v>0</v>
      </c>
      <c r="P33">
        <f>(накопительные!P33/SUM(накопительные!P$2:P$34))^$B$39</f>
        <v>1.3781856814186488E-6</v>
      </c>
      <c r="Q33">
        <f>(накопительные!Q33/SUM(накопительные!Q$2:Q$34))^$B$39</f>
        <v>1.1802340534019202E-6</v>
      </c>
      <c r="R33">
        <f>(накопительные!R33/SUM(накопительные!R$2:R$34))^$B$39</f>
        <v>9.5135026629780441E-7</v>
      </c>
      <c r="S33">
        <f>(накопительные!S33/SUM(накопительные!S$2:S$34))^$B$39</f>
        <v>8.8609111635567701E-7</v>
      </c>
      <c r="T33">
        <f>(накопительные!T33/SUM(накопительные!T$2:T$34))^$B$39</f>
        <v>8.2752421886455371E-7</v>
      </c>
    </row>
    <row r="34" spans="1:20" x14ac:dyDescent="0.25">
      <c r="A34" t="s">
        <v>52</v>
      </c>
      <c r="B34">
        <f>(накопительные!B34/SUM(накопительные!B$2:B$34))^$B$39</f>
        <v>0</v>
      </c>
      <c r="C34">
        <f>(накопительные!C34/SUM(накопительные!C$2:C$34))^$B$39</f>
        <v>0</v>
      </c>
      <c r="D34">
        <f>(накопительные!D34/SUM(накопительные!D$2:D$34))^$B$39</f>
        <v>0</v>
      </c>
      <c r="E34">
        <f>(накопительные!E34/SUM(накопительные!E$2:E$34))^$B$39</f>
        <v>0</v>
      </c>
      <c r="F34">
        <f>(накопительные!F34/SUM(накопительные!F$2:F$34))^$B$39</f>
        <v>0</v>
      </c>
      <c r="G34">
        <f>(накопительные!G34/SUM(накопительные!G$2:G$34))^$B$39</f>
        <v>0</v>
      </c>
      <c r="H34">
        <f>(накопительные!H34/SUM(накопительные!H$2:H$34))^$B$39</f>
        <v>0</v>
      </c>
      <c r="I34">
        <f>(накопительные!I34/SUM(накопительные!I$2:I$34))^$B$39</f>
        <v>0</v>
      </c>
      <c r="J34">
        <f>(накопительные!J34/SUM(накопительные!J$2:J$34))^$B$39</f>
        <v>0</v>
      </c>
      <c r="K34">
        <f>(накопительные!K34/SUM(накопительные!K$2:K$34))^$B$39</f>
        <v>0</v>
      </c>
      <c r="L34">
        <f>(накопительные!L34/SUM(накопительные!L$2:L$34))^$B$39</f>
        <v>0</v>
      </c>
      <c r="M34">
        <f>(накопительные!M34/SUM(накопительные!M$2:M$34))^$B$39</f>
        <v>0</v>
      </c>
      <c r="N34">
        <f>(накопительные!N34/SUM(накопительные!N$2:N$34))^$B$39</f>
        <v>0</v>
      </c>
      <c r="O34">
        <f>(накопительные!O34/SUM(накопительные!O$2:O$34))^$B$39</f>
        <v>0</v>
      </c>
      <c r="P34">
        <f>(накопительные!P34/SUM(накопительные!P$2:P$34))^$B$39</f>
        <v>0</v>
      </c>
      <c r="Q34">
        <f>(накопительные!Q34/SUM(накопительные!Q$2:Q$34))^$B$39</f>
        <v>0</v>
      </c>
      <c r="R34">
        <f>(накопительные!R34/SUM(накопительные!R$2:R$34))^$B$39</f>
        <v>0</v>
      </c>
      <c r="S34">
        <f>(накопительные!S34/SUM(накопительные!S$2:S$34))^$B$39</f>
        <v>3.1019342482978937E-5</v>
      </c>
      <c r="T34">
        <f>(накопительные!T34/SUM(накопительные!T$2:T$34))^$B$39</f>
        <v>2.8969094356223721E-5</v>
      </c>
    </row>
    <row r="36" spans="1:20" x14ac:dyDescent="0.25">
      <c r="A36" s="1" t="s">
        <v>53</v>
      </c>
      <c r="B36">
        <f>SUM(B2:B34)</f>
        <v>0.2673338456699943</v>
      </c>
      <c r="C36">
        <f t="shared" ref="C36:T36" si="0">SUM(C2:C34)</f>
        <v>0.42768795150968253</v>
      </c>
      <c r="D36">
        <f t="shared" si="0"/>
        <v>0.32066886327614763</v>
      </c>
      <c r="E36">
        <f t="shared" si="0"/>
        <v>0.34461078135771872</v>
      </c>
      <c r="F36">
        <f t="shared" si="0"/>
        <v>0.2655099774025475</v>
      </c>
      <c r="G36">
        <f t="shared" si="0"/>
        <v>0.22579123434045542</v>
      </c>
      <c r="H36">
        <f t="shared" si="0"/>
        <v>0.24952858700337696</v>
      </c>
      <c r="I36">
        <f t="shared" si="0"/>
        <v>0.23355140559806317</v>
      </c>
      <c r="J36">
        <f t="shared" si="0"/>
        <v>0.2098020626382866</v>
      </c>
      <c r="K36">
        <f t="shared" si="0"/>
        <v>0.21411842197359682</v>
      </c>
      <c r="L36">
        <f t="shared" si="0"/>
        <v>0.22133360249899714</v>
      </c>
      <c r="M36">
        <f t="shared" si="0"/>
        <v>0.2324168868930091</v>
      </c>
      <c r="N36">
        <f t="shared" si="0"/>
        <v>0.22292526069189503</v>
      </c>
      <c r="O36">
        <f t="shared" si="0"/>
        <v>0.22294708363921903</v>
      </c>
      <c r="P36">
        <f t="shared" si="0"/>
        <v>0.21016157389150886</v>
      </c>
      <c r="Q36">
        <f t="shared" si="0"/>
        <v>0.20383807485026059</v>
      </c>
      <c r="R36">
        <f t="shared" si="0"/>
        <v>0.20316799902941129</v>
      </c>
      <c r="S36">
        <f t="shared" si="0"/>
        <v>0.20120942084198551</v>
      </c>
      <c r="T36">
        <f t="shared" si="0"/>
        <v>0.19967754764845452</v>
      </c>
    </row>
    <row r="37" spans="1:20" x14ac:dyDescent="0.25">
      <c r="A37" s="1" t="s">
        <v>55</v>
      </c>
      <c r="B37">
        <f>LN(B36)/LN(SUM(накопительные!B2:B34))</f>
        <v>-0.45856119231075082</v>
      </c>
      <c r="C37">
        <f>LN(C36)/LN(SUM(накопительные!C2:C34))</f>
        <v>-0.19901913763537457</v>
      </c>
      <c r="D37">
        <f>LN(D36)/LN(SUM(накопительные!D2:D34))</f>
        <v>-0.24954614115217991</v>
      </c>
      <c r="E37">
        <f>LN(E36)/LN(SUM(накопительные!E2:E34))</f>
        <v>-0.21972168458069299</v>
      </c>
      <c r="F37">
        <f>LN(F36)/LN(SUM(накопительные!F2:F34))</f>
        <v>-0.26118286444450922</v>
      </c>
      <c r="G37">
        <f>LN(G36)/LN(SUM(накопительные!G2:G34))</f>
        <v>-0.28347769993764932</v>
      </c>
      <c r="H37">
        <f>LN(H36)/LN(SUM(накопительные!H2:H34))</f>
        <v>-0.25816858244594382</v>
      </c>
      <c r="I37">
        <f>LN(I36)/LN(SUM(накопительные!I2:I34))</f>
        <v>-0.26639563678128314</v>
      </c>
      <c r="J37">
        <f>LN(J36)/LN(SUM(накопительные!J2:J34))</f>
        <v>-0.2795275157102321</v>
      </c>
      <c r="K37">
        <f>LN(K36)/LN(SUM(накопительные!K2:K34))</f>
        <v>-0.26766753198061627</v>
      </c>
      <c r="L37">
        <f>LN(L36)/LN(SUM(накопительные!L2:L34))</f>
        <v>-0.25690629531781917</v>
      </c>
      <c r="M37">
        <f>LN(M36)/LN(SUM(накопительные!M2:M34))</f>
        <v>-0.2439584321646022</v>
      </c>
      <c r="N37">
        <f>LN(N36)/LN(SUM(накопительные!N2:N34))</f>
        <v>-0.24815378685101933</v>
      </c>
      <c r="O37">
        <f>LN(O36)/LN(SUM(накопительные!O2:O34))</f>
        <v>-0.2436178707637176</v>
      </c>
      <c r="P37">
        <f>LN(P36)/LN(SUM(накопительные!P2:P34))</f>
        <v>-0.25011901133544567</v>
      </c>
      <c r="Q37">
        <f>LN(Q36)/LN(SUM(накопительные!Q2:Q34))</f>
        <v>-0.25188642622407698</v>
      </c>
      <c r="R37">
        <f>LN(R36)/LN(SUM(накопительные!R2:R34))</f>
        <v>-0.24817117421973395</v>
      </c>
      <c r="S37">
        <f>LN(S36)/LN(SUM(накопительные!S2:S34))</f>
        <v>-0.24830576759763517</v>
      </c>
      <c r="T37">
        <f>LN(T36)/LN(SUM(накопительные!T2:T34))</f>
        <v>-0.24817524596378024</v>
      </c>
    </row>
    <row r="39" spans="1:20" x14ac:dyDescent="0.25">
      <c r="A39" s="2" t="s">
        <v>56</v>
      </c>
      <c r="B39" s="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5E20-5A68-4EAD-9EC7-846930664BCD}">
  <dimension ref="A1:T39"/>
  <sheetViews>
    <sheetView workbookViewId="0">
      <selection sqref="A1:XFD1"/>
    </sheetView>
  </sheetViews>
  <sheetFormatPr defaultRowHeight="15" x14ac:dyDescent="0.25"/>
  <cols>
    <col min="1" max="1" width="25.5703125" bestFit="1" customWidth="1"/>
    <col min="2" max="2" width="12.7109375" bestFit="1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20</v>
      </c>
      <c r="B2">
        <f>(накопительные!B2/SUM(накопительные!B$2:B$34))^$B$39</f>
        <v>1.5206495757993202E-2</v>
      </c>
      <c r="C2">
        <f>(накопительные!C2/SUM(накопительные!C$2:C$34))^$B$39</f>
        <v>3.650446636788774E-4</v>
      </c>
      <c r="D2">
        <f>(накопительные!D2/SUM(накопительные!D$2:D$34))^$B$39</f>
        <v>3.7065766650485872E-4</v>
      </c>
      <c r="E2">
        <f>(накопительные!E2/SUM(накопительные!E$2:E$34))^$B$39</f>
        <v>1.5485605195696259E-4</v>
      </c>
      <c r="F2">
        <f>(накопительные!F2/SUM(накопительные!F$2:F$34))^$B$39</f>
        <v>7.7973329048617313E-5</v>
      </c>
      <c r="G2">
        <f>(накопительные!G2/SUM(накопительные!G$2:G$34))^$B$39</f>
        <v>4.6500237287387268E-5</v>
      </c>
      <c r="H2">
        <f>(накопительные!H2/SUM(накопительные!H$2:H$34))^$B$39</f>
        <v>3.1726368563784887E-5</v>
      </c>
      <c r="I2">
        <f>(накопительные!I2/SUM(накопительные!I$2:I$34))^$B$39</f>
        <v>2.4782514354406981E-5</v>
      </c>
      <c r="J2">
        <f>(накопительные!J2/SUM(накопительные!J$2:J$34))^$B$39</f>
        <v>1.6922534413474426E-5</v>
      </c>
      <c r="K2">
        <f>(накопительные!K2/SUM(накопительные!K$2:K$34))^$B$39</f>
        <v>1.0117806878644103E-5</v>
      </c>
      <c r="L2">
        <f>(накопительные!L2/SUM(накопительные!L$2:L$34))^$B$39</f>
        <v>7.2263914693030271E-6</v>
      </c>
      <c r="M2">
        <f>(накопительные!M2/SUM(накопительные!M$2:M$34))^$B$39</f>
        <v>5.1755112389330324E-6</v>
      </c>
      <c r="N2">
        <f>(накопительные!N2/SUM(накопительные!N$2:N$34))^$B$39</f>
        <v>4.2343658834750115E-6</v>
      </c>
      <c r="O2">
        <f>(накопительные!O2/SUM(накопительные!O$2:O$34))^$B$39</f>
        <v>3.0240506783434952E-6</v>
      </c>
      <c r="P2">
        <f>(накопительные!P2/SUM(накопительные!P$2:P$34))^$B$39</f>
        <v>2.4075735509135746E-6</v>
      </c>
      <c r="Q2">
        <f>(накопительные!Q2/SUM(накопительные!Q$2:Q$34))^$B$39</f>
        <v>1.9079639960671249E-6</v>
      </c>
      <c r="R2">
        <f>(накопительные!R2/SUM(накопительные!R$2:R$34))^$B$39</f>
        <v>1.5053041742537949E-6</v>
      </c>
      <c r="S2">
        <f>(накопительные!S2/SUM(накопительные!S$2:S$34))^$B$39</f>
        <v>1.3531039865086019E-6</v>
      </c>
      <c r="T2">
        <f>(накопительные!T2/SUM(накопительные!T$2:T$34))^$B$39</f>
        <v>1.8180463848223118E-6</v>
      </c>
    </row>
    <row r="3" spans="1:20" x14ac:dyDescent="0.25">
      <c r="A3" t="s">
        <v>21</v>
      </c>
      <c r="B3">
        <f>(накопительные!B3/SUM(накопительные!B$2:B$34))^$B$39</f>
        <v>7.5310391598227125E-2</v>
      </c>
      <c r="C3">
        <f>(накопительные!C3/SUM(накопительные!C$2:C$34))^$B$39</f>
        <v>0.25076852023533691</v>
      </c>
      <c r="D3">
        <f>(накопительные!D3/SUM(накопительные!D$2:D$34))^$B$39</f>
        <v>0.14588559944628368</v>
      </c>
      <c r="E3">
        <f>(накопительные!E3/SUM(накопительные!E$2:E$34))^$B$39</f>
        <v>0.16173755816513949</v>
      </c>
      <c r="F3">
        <f>(накопительные!F3/SUM(накопительные!F$2:F$34))^$B$39</f>
        <v>0.10523543502942363</v>
      </c>
      <c r="G3">
        <f>(накопительные!G3/SUM(накопительные!G$2:G$34))^$B$39</f>
        <v>7.8317042868731146E-2</v>
      </c>
      <c r="H3">
        <f>(накопительные!H3/SUM(накопительные!H$2:H$34))^$B$39</f>
        <v>9.7821456648076219E-2</v>
      </c>
      <c r="I3">
        <f>(накопительные!I3/SUM(накопительные!I$2:I$34))^$B$39</f>
        <v>8.6981289229631664E-2</v>
      </c>
      <c r="J3">
        <f>(накопительные!J3/SUM(накопительные!J$2:J$34))^$B$39</f>
        <v>6.8558547285876861E-2</v>
      </c>
      <c r="K3">
        <f>(накопительные!K3/SUM(накопительные!K$2:K$34))^$B$39</f>
        <v>7.3724000988684632E-2</v>
      </c>
      <c r="L3">
        <f>(накопительные!L3/SUM(накопительные!L$2:L$34))^$B$39</f>
        <v>7.942358387325181E-2</v>
      </c>
      <c r="M3">
        <f>(накопительные!M3/SUM(накопительные!M$2:M$34))^$B$39</f>
        <v>8.7038801833849225E-2</v>
      </c>
      <c r="N3">
        <f>(накопительные!N3/SUM(накопительные!N$2:N$34))^$B$39</f>
        <v>7.8897674013592892E-2</v>
      </c>
      <c r="O3">
        <f>(накопительные!O3/SUM(накопительные!O$2:O$34))^$B$39</f>
        <v>7.3697894916454995E-2</v>
      </c>
      <c r="P3">
        <f>(накопительные!P3/SUM(накопительные!P$2:P$34))^$B$39</f>
        <v>6.3311256988471051E-2</v>
      </c>
      <c r="Q3">
        <f>(накопительные!Q3/SUM(накопительные!Q$2:Q$34))^$B$39</f>
        <v>5.5209813329107717E-2</v>
      </c>
      <c r="R3">
        <f>(накопительные!R3/SUM(накопительные!R$2:R$34))^$B$39</f>
        <v>4.7704091112735783E-2</v>
      </c>
      <c r="S3">
        <f>(накопительные!S3/SUM(накопительные!S$2:S$34))^$B$39</f>
        <v>4.5588249287172429E-2</v>
      </c>
      <c r="T3">
        <f>(накопительные!T3/SUM(накопительные!T$2:T$34))^$B$39</f>
        <v>4.4482937158166092E-2</v>
      </c>
    </row>
    <row r="4" spans="1:20" x14ac:dyDescent="0.25">
      <c r="A4" t="s">
        <v>22</v>
      </c>
      <c r="B4">
        <f>(накопительные!B4/SUM(накопительные!B$2:B$34))^$B$39</f>
        <v>0</v>
      </c>
      <c r="C4">
        <f>(накопительные!C4/SUM(накопительные!C$2:C$34))^$B$39</f>
        <v>0</v>
      </c>
      <c r="D4">
        <f>(накопительные!D4/SUM(накопительные!D$2:D$34))^$B$39</f>
        <v>0</v>
      </c>
      <c r="E4">
        <f>(накопительные!E4/SUM(накопительные!E$2:E$34))^$B$39</f>
        <v>0</v>
      </c>
      <c r="F4">
        <f>(накопительные!F4/SUM(накопительные!F$2:F$34))^$B$39</f>
        <v>0</v>
      </c>
      <c r="G4">
        <f>(накопительные!G4/SUM(накопительные!G$2:G$34))^$B$39</f>
        <v>1.8083957079166985E-11</v>
      </c>
      <c r="H4">
        <f>(накопительные!H4/SUM(накопительные!H$2:H$34))^$B$39</f>
        <v>3.3856555416166413E-11</v>
      </c>
      <c r="I4">
        <f>(накопительные!I4/SUM(накопительные!I$2:I$34))^$B$39</f>
        <v>3.947695193761844E-11</v>
      </c>
      <c r="J4">
        <f>(накопительные!J4/SUM(накопительные!J$2:J$34))^$B$39</f>
        <v>2.6956509260918767E-11</v>
      </c>
      <c r="K4">
        <f>(накопительные!K4/SUM(накопительные!K$2:K$34))^$B$39</f>
        <v>1.6117015818102859E-11</v>
      </c>
      <c r="L4">
        <f>(накопительные!L4/SUM(накопительные!L$2:L$34))^$B$39</f>
        <v>4.9354171297100043E-10</v>
      </c>
      <c r="M4">
        <f>(накопительные!M4/SUM(накопительные!M$2:M$34))^$B$39</f>
        <v>3.5347250328385998E-10</v>
      </c>
      <c r="N4">
        <f>(накопительные!N4/SUM(накопительные!N$2:N$34))^$B$39</f>
        <v>2.8919498761638229E-10</v>
      </c>
      <c r="O4">
        <f>(накопительные!O4/SUM(накопительные!O$2:O$34))^$B$39</f>
        <v>2.0653394688631681E-10</v>
      </c>
      <c r="P4">
        <f>(накопительные!P4/SUM(накопительные!P$2:P$34))^$B$39</f>
        <v>1.6443033559267766E-10</v>
      </c>
      <c r="Q4">
        <f>(накопительные!Q4/SUM(накопительные!Q$2:Q$34))^$B$39</f>
        <v>1.3030844272774849E-10</v>
      </c>
      <c r="R4">
        <f>(накопительные!R4/SUM(накопительные!R$2:R$34))^$B$39</f>
        <v>9.4304194305677077E-11</v>
      </c>
      <c r="S4">
        <f>(накопительные!S4/SUM(накопительные!S$2:S$34))^$B$39</f>
        <v>8.4769167216817596E-11</v>
      </c>
      <c r="T4">
        <f>(накопительные!T4/SUM(накопительные!T$2:T$34))^$B$39</f>
        <v>7.6505280597437626E-11</v>
      </c>
    </row>
    <row r="5" spans="1:20" x14ac:dyDescent="0.25">
      <c r="A5" t="s">
        <v>23</v>
      </c>
      <c r="B5">
        <f>(накопительные!B5/SUM(накопительные!B$2:B$34))^$B$39</f>
        <v>4.8198650622865366E-9</v>
      </c>
      <c r="C5">
        <f>(накопительные!C5/SUM(накопительные!C$2:C$34))^$B$39</f>
        <v>3.3482585302643019E-8</v>
      </c>
      <c r="D5">
        <f>(накопительные!D5/SUM(накопительные!D$2:D$34))^$B$39</f>
        <v>1.4030875817873673E-8</v>
      </c>
      <c r="E5">
        <f>(накопительные!E5/SUM(накопительные!E$2:E$34))^$B$39</f>
        <v>1.7314034873243352E-8</v>
      </c>
      <c r="F5">
        <f>(накопительные!F5/SUM(накопительные!F$2:F$34))^$B$39</f>
        <v>1.7439992315649102E-6</v>
      </c>
      <c r="G5">
        <f>(накопительные!G5/SUM(накопительные!G$2:G$34))^$B$39</f>
        <v>2.6317867740475275E-6</v>
      </c>
      <c r="H5">
        <f>(накопительные!H5/SUM(накопительные!H$2:H$34))^$B$39</f>
        <v>2.0083370107315744E-6</v>
      </c>
      <c r="I5">
        <f>(накопительные!I5/SUM(накопительные!I$2:I$34))^$B$39</f>
        <v>1.6210667505093867E-6</v>
      </c>
      <c r="J5">
        <f>(накопительные!J5/SUM(накопительные!J$2:J$34))^$B$39</f>
        <v>4.0702631566294797E-6</v>
      </c>
      <c r="K5">
        <f>(накопительные!K5/SUM(накопительные!K$2:K$34))^$B$39</f>
        <v>2.4335679016995516E-6</v>
      </c>
      <c r="L5">
        <f>(накопительные!L5/SUM(накопительные!L$2:L$34))^$B$39</f>
        <v>1.7381152393736947E-6</v>
      </c>
      <c r="M5">
        <f>(накопительные!M5/SUM(накопительные!M$2:M$34))^$B$39</f>
        <v>1.2891793845282045E-6</v>
      </c>
      <c r="N5">
        <f>(накопительные!N5/SUM(накопительные!N$2:N$34))^$B$39</f>
        <v>1.2084989934378667E-6</v>
      </c>
      <c r="O5">
        <f>(накопительные!O5/SUM(накопительные!O$2:O$34))^$B$39</f>
        <v>8.6307189823757672E-7</v>
      </c>
      <c r="P5">
        <f>(накопительные!P5/SUM(накопительные!P$2:P$34))^$B$39</f>
        <v>1.1860408419695634E-6</v>
      </c>
      <c r="Q5">
        <f>(накопительные!Q5/SUM(накопительные!Q$2:Q$34))^$B$39</f>
        <v>9.3991862615552436E-7</v>
      </c>
      <c r="R5">
        <f>(накопительные!R5/SUM(накопительные!R$2:R$34))^$B$39</f>
        <v>6.8399790980862781E-7</v>
      </c>
      <c r="S5">
        <f>(накопительные!S5/SUM(накопительные!S$2:S$34))^$B$39</f>
        <v>7.226897730600244E-7</v>
      </c>
      <c r="T5">
        <f>(накопительные!T5/SUM(накопительные!T$2:T$34))^$B$39</f>
        <v>6.5910255550699932E-7</v>
      </c>
    </row>
    <row r="6" spans="1:20" x14ac:dyDescent="0.25">
      <c r="A6" t="s">
        <v>24</v>
      </c>
      <c r="B6">
        <f>(накопительные!B6/SUM(накопительные!B$2:B$34))^$B$39</f>
        <v>0</v>
      </c>
      <c r="C6">
        <f>(накопительные!C6/SUM(накопительные!C$2:C$34))^$B$39</f>
        <v>0</v>
      </c>
      <c r="D6">
        <f>(накопительные!D6/SUM(накопительные!D$2:D$34))^$B$39</f>
        <v>0</v>
      </c>
      <c r="E6">
        <f>(накопительные!E6/SUM(накопительные!E$2:E$34))^$B$39</f>
        <v>0</v>
      </c>
      <c r="F6">
        <f>(накопительные!F6/SUM(накопительные!F$2:F$34))^$B$39</f>
        <v>2.4259081984812613E-13</v>
      </c>
      <c r="G6">
        <f>(накопительные!G6/SUM(накопительные!G$2:G$34))^$B$39</f>
        <v>1.4467165663333586E-13</v>
      </c>
      <c r="H6">
        <f>(накопительные!H6/SUM(накопительные!H$2:H$34))^$B$39</f>
        <v>9.8707158647715473E-14</v>
      </c>
      <c r="I6">
        <f>(накопительные!I6/SUM(накопительные!I$2:I$34))^$B$39</f>
        <v>1.6654339098682779E-11</v>
      </c>
      <c r="J6">
        <f>(накопительные!J6/SUM(накопительные!J$2:J$34))^$B$39</f>
        <v>1.1372277344450106E-11</v>
      </c>
      <c r="K6">
        <f>(накопительные!K6/SUM(накопительные!K$2:K$34))^$B$39</f>
        <v>6.7993660482621445E-12</v>
      </c>
      <c r="L6">
        <f>(накопительные!L6/SUM(накопительные!L$2:L$34))^$B$39</f>
        <v>4.8562777879799598E-12</v>
      </c>
      <c r="M6">
        <f>(накопительные!M6/SUM(накопительные!M$2:M$34))^$B$39</f>
        <v>6.5954053090866019E-11</v>
      </c>
      <c r="N6">
        <f>(накопительные!N6/SUM(накопительные!N$2:N$34))^$B$39</f>
        <v>2.3154569525990955E-10</v>
      </c>
      <c r="O6">
        <f>(накопительные!O6/SUM(накопительные!O$2:O$34))^$B$39</f>
        <v>1.6522715750905345E-9</v>
      </c>
      <c r="P6">
        <f>(накопительные!P6/SUM(накопительные!P$2:P$34))^$B$39</f>
        <v>3.2881273231200454E-9</v>
      </c>
      <c r="Q6">
        <f>(накопительные!Q6/SUM(накопительные!Q$2:Q$34))^$B$39</f>
        <v>3.7756681326366959E-9</v>
      </c>
      <c r="R6">
        <f>(накопительные!R6/SUM(накопительные!R$2:R$34))^$B$39</f>
        <v>2.7324502830398925E-9</v>
      </c>
      <c r="S6">
        <f>(накопительные!S6/SUM(накопительные!S$2:S$34))^$B$39</f>
        <v>7.7245903626325011E-9</v>
      </c>
      <c r="T6">
        <f>(накопительные!T6/SUM(накопительные!T$2:T$34))^$B$39</f>
        <v>8.7666575760982176E-9</v>
      </c>
    </row>
    <row r="7" spans="1:20" x14ac:dyDescent="0.25">
      <c r="A7" t="s">
        <v>25</v>
      </c>
      <c r="B7">
        <f>(накопительные!B7/SUM(накопительные!B$2:B$34))^$B$39</f>
        <v>0</v>
      </c>
      <c r="C7">
        <f>(накопительные!C7/SUM(накопительные!C$2:C$34))^$B$39</f>
        <v>0</v>
      </c>
      <c r="D7">
        <f>(накопительные!D7/SUM(накопительные!D$2:D$34))^$B$39</f>
        <v>1.1531910756861738E-9</v>
      </c>
      <c r="E7">
        <f>(накопительные!E7/SUM(накопительные!E$2:E$34))^$B$39</f>
        <v>4.8178854309606678E-10</v>
      </c>
      <c r="F7">
        <f>(накопительные!F7/SUM(накопительные!F$2:F$34))^$B$39</f>
        <v>2.4259081984812609E-10</v>
      </c>
      <c r="G7">
        <f>(накопительные!G7/SUM(накопительные!G$2:G$34))^$B$39</f>
        <v>1.4467165663333588E-10</v>
      </c>
      <c r="H7">
        <f>(накопительные!H7/SUM(накопительные!H$2:H$34))^$B$39</f>
        <v>1.7056597014325238E-10</v>
      </c>
      <c r="I7">
        <f>(накопительные!I7/SUM(накопительные!I$2:I$34))^$B$39</f>
        <v>1.3323471278946223E-10</v>
      </c>
      <c r="J7">
        <f>(накопительные!J7/SUM(накопительные!J$2:J$34))^$B$39</f>
        <v>9.0978218755600846E-11</v>
      </c>
      <c r="K7">
        <f>(накопительные!K7/SUM(накопительные!K$2:K$34))^$B$39</f>
        <v>5.4394928386097156E-11</v>
      </c>
      <c r="L7">
        <f>(накопительные!L7/SUM(накопительные!L$2:L$34))^$B$39</f>
        <v>3.8850222303839678E-11</v>
      </c>
      <c r="M7">
        <f>(накопительные!M7/SUM(накопительные!M$2:M$34))^$B$39</f>
        <v>2.7824366147709093E-11</v>
      </c>
      <c r="N7">
        <f>(накопительные!N7/SUM(накопительные!N$2:N$34))^$B$39</f>
        <v>2.2764620016449913E-11</v>
      </c>
      <c r="O7">
        <f>(накопительные!O7/SUM(накопительные!O$2:O$34))^$B$39</f>
        <v>1.6257774244695488E-11</v>
      </c>
      <c r="P7">
        <f>(накопительные!P7/SUM(накопительные!P$2:P$34))^$B$39</f>
        <v>1.0615829801490507E-7</v>
      </c>
      <c r="Q7">
        <f>(накопительные!Q7/SUM(накопительные!Q$2:Q$34))^$B$39</f>
        <v>1.1109296221095653E-6</v>
      </c>
      <c r="R7">
        <f>(накопительные!R7/SUM(накопительные!R$2:R$34))^$B$39</f>
        <v>1.0337798647899596E-6</v>
      </c>
      <c r="S7">
        <f>(накопительные!S7/SUM(накопительные!S$2:S$34))^$B$39</f>
        <v>9.2925514998524033E-7</v>
      </c>
      <c r="T7">
        <f>(накопительные!T7/SUM(накопительные!T$2:T$34))^$B$39</f>
        <v>8.3866491001849167E-7</v>
      </c>
    </row>
    <row r="8" spans="1:20" x14ac:dyDescent="0.25">
      <c r="A8" t="s">
        <v>26</v>
      </c>
      <c r="B8">
        <f>(накопительные!B8/SUM(накопительные!B$2:B$34))^$B$39</f>
        <v>0</v>
      </c>
      <c r="C8">
        <f>(накопительные!C8/SUM(накопительные!C$2:C$34))^$B$39</f>
        <v>0</v>
      </c>
      <c r="D8">
        <f>(накопительные!D8/SUM(накопительные!D$2:D$34))^$B$39</f>
        <v>0</v>
      </c>
      <c r="E8">
        <f>(накопительные!E8/SUM(накопительные!E$2:E$34))^$B$39</f>
        <v>0</v>
      </c>
      <c r="F8">
        <f>(накопительные!F8/SUM(накопительные!F$2:F$34))^$B$39</f>
        <v>0</v>
      </c>
      <c r="G8">
        <f>(накопительные!G8/SUM(накопительные!G$2:G$34))^$B$39</f>
        <v>1.8083957079166979E-8</v>
      </c>
      <c r="H8">
        <f>(накопительные!H8/SUM(накопительные!H$2:H$34))^$B$39</f>
        <v>6.0618533804528234E-8</v>
      </c>
      <c r="I8">
        <f>(накопительные!I8/SUM(накопительные!I$2:I$34))^$B$39</f>
        <v>6.6106546225616389E-8</v>
      </c>
      <c r="J8">
        <f>(накопительные!J8/SUM(накопительные!J$2:J$34))^$B$39</f>
        <v>1.0283092216842179E-7</v>
      </c>
      <c r="K8">
        <f>(накопительные!K8/SUM(накопительные!K$2:K$34))^$B$39</f>
        <v>2.7119161308580725E-7</v>
      </c>
      <c r="L8">
        <f>(накопительные!L8/SUM(накопительные!L$2:L$34))^$B$39</f>
        <v>1.0058537264894068E-6</v>
      </c>
      <c r="M8">
        <f>(накопительные!M8/SUM(накопительные!M$2:M$34))^$B$39</f>
        <v>1.2360849870125757E-6</v>
      </c>
      <c r="N8">
        <f>(накопительные!N8/SUM(накопительные!N$2:N$34))^$B$39</f>
        <v>1.5978362295530481E-6</v>
      </c>
      <c r="O8">
        <f>(накопительные!O8/SUM(накопительные!O$2:O$34))^$B$39</f>
        <v>1.6969251797127015E-6</v>
      </c>
      <c r="P8">
        <f>(накопительные!P8/SUM(накопительные!P$2:P$34))^$B$39</f>
        <v>1.3509932918166213E-6</v>
      </c>
      <c r="Q8">
        <f>(накопительные!Q8/SUM(накопительные!Q$2:Q$34))^$B$39</f>
        <v>1.0706408361797331E-6</v>
      </c>
      <c r="R8">
        <f>(накопительные!R8/SUM(накопительные!R$2:R$34))^$B$39</f>
        <v>7.9557564941924438E-7</v>
      </c>
      <c r="S8">
        <f>(накопительные!S8/SUM(накопительные!S$2:S$34))^$B$39</f>
        <v>9.655737953290626E-7</v>
      </c>
      <c r="T8">
        <f>(накопительные!T8/SUM(накопительные!T$2:T$34))^$B$39</f>
        <v>1.653869074256341E-6</v>
      </c>
    </row>
    <row r="9" spans="1:20" x14ac:dyDescent="0.25">
      <c r="A9" t="s">
        <v>27</v>
      </c>
      <c r="B9">
        <f>(накопительные!B9/SUM(накопительные!B$2:B$34))^$B$39</f>
        <v>0</v>
      </c>
      <c r="C9">
        <f>(накопительные!C9/SUM(накопительные!C$2:C$34))^$B$39</f>
        <v>0</v>
      </c>
      <c r="D9">
        <f>(накопительные!D9/SUM(накопительные!D$2:D$34))^$B$39</f>
        <v>0</v>
      </c>
      <c r="E9">
        <f>(накопительные!E9/SUM(накопительные!E$2:E$34))^$B$39</f>
        <v>0</v>
      </c>
      <c r="F9">
        <f>(накопительные!F9/SUM(накопительные!F$2:F$34))^$B$39</f>
        <v>0</v>
      </c>
      <c r="G9">
        <f>(накопительные!G9/SUM(накопительные!G$2:G$34))^$B$39</f>
        <v>0</v>
      </c>
      <c r="H9">
        <f>(накопительные!H9/SUM(накопительные!H$2:H$34))^$B$39</f>
        <v>0</v>
      </c>
      <c r="I9">
        <f>(накопительные!I9/SUM(накопительные!I$2:I$34))^$B$39</f>
        <v>0</v>
      </c>
      <c r="J9">
        <f>(накопительные!J9/SUM(накопительные!J$2:J$34))^$B$39</f>
        <v>2.1565207408735012E-7</v>
      </c>
      <c r="K9">
        <f>(накопительные!K9/SUM(накопительные!K$2:K$34))^$B$39</f>
        <v>1.2893612654482289E-7</v>
      </c>
      <c r="L9">
        <f>(накопительные!L9/SUM(накопительные!L$2:L$34))^$B$39</f>
        <v>1.4388971223644322E-6</v>
      </c>
      <c r="M9">
        <f>(накопительные!M9/SUM(накопительные!M$2:M$34))^$B$39</f>
        <v>1.030532079544781E-6</v>
      </c>
      <c r="N9">
        <f>(накопительные!N9/SUM(накопительные!N$2:N$34))^$B$39</f>
        <v>8.4313407468333024E-7</v>
      </c>
      <c r="O9">
        <f>(накопительные!O9/SUM(накопительные!O$2:O$34))^$B$39</f>
        <v>6.9705207074131895E-7</v>
      </c>
      <c r="P9">
        <f>(накопительные!P9/SUM(накопительные!P$2:P$34))^$B$39</f>
        <v>6.3806640429695035E-7</v>
      </c>
      <c r="Q9">
        <f>(накопительные!Q9/SUM(накопительные!Q$2:Q$34))^$B$39</f>
        <v>5.0565754306307073E-7</v>
      </c>
      <c r="R9">
        <f>(накопительные!R9/SUM(накопительные!R$2:R$34))^$B$39</f>
        <v>3.6594426420074682E-7</v>
      </c>
      <c r="S9">
        <f>(накопительные!S9/SUM(накопительные!S$2:S$34))^$B$39</f>
        <v>3.2894391126992476E-7</v>
      </c>
      <c r="T9">
        <f>(накопительные!T9/SUM(накопительные!T$2:T$34))^$B$39</f>
        <v>2.9687617631250571E-7</v>
      </c>
    </row>
    <row r="10" spans="1:20" x14ac:dyDescent="0.25">
      <c r="A10" t="s">
        <v>28</v>
      </c>
      <c r="B10">
        <f>(накопительные!B10/SUM(накопительные!B$2:B$34))^$B$39</f>
        <v>2.789273762897301E-6</v>
      </c>
      <c r="C10">
        <f>(накопительные!C10/SUM(накопительные!C$2:C$34))^$B$39</f>
        <v>2.5076852023533698E-7</v>
      </c>
      <c r="D10">
        <f>(накопительные!D10/SUM(накопительные!D$2:D$34))^$B$39</f>
        <v>1.4965969631370701E-5</v>
      </c>
      <c r="E10">
        <f>(накопительные!E10/SUM(накопительные!E$2:E$34))^$B$39</f>
        <v>6.6602448197600243E-6</v>
      </c>
      <c r="F10">
        <f>(накопительные!F10/SUM(накопительные!F$2:F$34))^$B$39</f>
        <v>3.3535754935804944E-6</v>
      </c>
      <c r="G10">
        <f>(накопительные!G10/SUM(накопительные!G$2:G$34))^$B$39</f>
        <v>4.7406008445611501E-6</v>
      </c>
      <c r="H10">
        <f>(накопительные!H10/SUM(накопительные!H$2:H$34))^$B$39</f>
        <v>3.2344361745683414E-6</v>
      </c>
      <c r="I10">
        <f>(накопительные!I10/SUM(накопительные!I$2:I$34))^$B$39</f>
        <v>2.5265249240075802E-6</v>
      </c>
      <c r="J10">
        <f>(накопительные!J10/SUM(накопительные!J$2:J$34))^$B$39</f>
        <v>6.1941530430426404E-6</v>
      </c>
      <c r="K10">
        <f>(накопительные!K10/SUM(накопительные!K$2:K$34))^$B$39</f>
        <v>3.7034195194999664E-6</v>
      </c>
      <c r="L10">
        <f>(накопительные!L10/SUM(накопительные!L$2:L$34))^$B$39</f>
        <v>7.069301562176457E-6</v>
      </c>
      <c r="M10">
        <f>(накопительные!M10/SUM(накопительные!M$2:M$34))^$B$39</f>
        <v>5.6422054034250023E-6</v>
      </c>
      <c r="N10">
        <f>(накопительные!N10/SUM(накопительные!N$2:N$34))^$B$39</f>
        <v>4.6161936405622678E-6</v>
      </c>
      <c r="O10">
        <f>(накопительные!O10/SUM(накопительные!O$2:O$34))^$B$39</f>
        <v>3.439026132143971E-6</v>
      </c>
      <c r="P10">
        <f>(накопительные!P10/SUM(накопительные!P$2:P$34))^$B$39</f>
        <v>2.7379529106257798E-6</v>
      </c>
      <c r="Q10">
        <f>(накопительные!Q10/SUM(накопительные!Q$2:Q$34))^$B$39</f>
        <v>2.1697844181827456E-6</v>
      </c>
      <c r="R10">
        <f>(накопительные!R10/SUM(накопительные!R$2:R$34))^$B$39</f>
        <v>1.7763385184110225E-6</v>
      </c>
      <c r="S10">
        <f>(накопительные!S10/SUM(накопительные!S$2:S$34))^$B$39</f>
        <v>1.629099508910118E-6</v>
      </c>
      <c r="T10">
        <f>(накопительные!T10/SUM(накопительные!T$2:T$34))^$B$39</f>
        <v>1.4702835847323247E-6</v>
      </c>
    </row>
    <row r="11" spans="1:20" x14ac:dyDescent="0.25">
      <c r="A11" t="s">
        <v>29</v>
      </c>
      <c r="B11">
        <f>(накопительные!B11/SUM(накопительные!B$2:B$34))^$B$39</f>
        <v>2.2314190103178408E-5</v>
      </c>
      <c r="C11">
        <f>(накопительные!C11/SUM(накопительные!C$2:C$34))^$B$39</f>
        <v>2.2015343340276496E-5</v>
      </c>
      <c r="D11">
        <f>(накопительные!D11/SUM(накопительные!D$2:D$34))^$B$39</f>
        <v>1.6214789077008149E-4</v>
      </c>
      <c r="E11">
        <f>(накопительные!E11/SUM(накопительные!E$2:E$34))^$B$39</f>
        <v>8.0157568857608098E-5</v>
      </c>
      <c r="F11">
        <f>(накопительные!F11/SUM(накопительные!F$2:F$34))^$B$39</f>
        <v>4.0361047652231975E-5</v>
      </c>
      <c r="G11">
        <f>(накопительные!G11/SUM(накопительные!G$2:G$34))^$B$39</f>
        <v>2.4069746872371254E-5</v>
      </c>
      <c r="H11">
        <f>(накопительные!H11/SUM(накопительные!H$2:H$34))^$B$39</f>
        <v>2.027237753590916E-5</v>
      </c>
      <c r="I11">
        <f>(накопительные!I11/SUM(накопительные!I$2:I$34))^$B$39</f>
        <v>1.5835423656242459E-5</v>
      </c>
      <c r="J11">
        <f>(накопительные!J11/SUM(накопительные!J$2:J$34))^$B$39</f>
        <v>1.0813087725582489E-5</v>
      </c>
      <c r="K11">
        <f>(накопительные!K11/SUM(накопительные!K$2:K$34))^$B$39</f>
        <v>6.4650324056760675E-6</v>
      </c>
      <c r="L11">
        <f>(накопительные!L11/SUM(накопительные!L$2:L$34))^$B$39</f>
        <v>4.6174883139700752E-6</v>
      </c>
      <c r="M11">
        <f>(накопительные!M11/SUM(накопительные!M$2:M$34))^$B$39</f>
        <v>3.3070257494504326E-6</v>
      </c>
      <c r="N11">
        <f>(накопительные!N11/SUM(накопительные!N$2:N$34))^$B$39</f>
        <v>2.7056567675685571E-6</v>
      </c>
      <c r="O11">
        <f>(накопительные!O11/SUM(накопительные!O$2:O$34))^$B$39</f>
        <v>1.9322948012739086E-6</v>
      </c>
      <c r="P11">
        <f>(накопительные!P11/SUM(накопительные!P$2:P$34))^$B$39</f>
        <v>1.5383809171687559E-6</v>
      </c>
      <c r="Q11">
        <f>(накопительные!Q11/SUM(накопительные!Q$2:Q$34))^$B$39</f>
        <v>1.2191425682845414E-6</v>
      </c>
      <c r="R11">
        <f>(накопительные!R11/SUM(накопительные!R$2:R$34))^$B$39</f>
        <v>8.8229323625663492E-7</v>
      </c>
      <c r="S11">
        <f>(накопительные!S11/SUM(накопительные!S$2:S$34))^$B$39</f>
        <v>7.9308522202181009E-7</v>
      </c>
      <c r="T11">
        <f>(накопительные!T11/SUM(накопительные!T$2:T$34))^$B$39</f>
        <v>7.1576977149331011E-7</v>
      </c>
    </row>
    <row r="12" spans="1:20" x14ac:dyDescent="0.25">
      <c r="A12" t="s">
        <v>30</v>
      </c>
      <c r="B12">
        <f>(накопительные!B12/SUM(накопительные!B$2:B$34))^$B$39</f>
        <v>0</v>
      </c>
      <c r="C12">
        <f>(накопительные!C12/SUM(накопительные!C$2:C$34))^$B$39</f>
        <v>0</v>
      </c>
      <c r="D12">
        <f>(накопительные!D12/SUM(накопительные!D$2:D$34))^$B$39</f>
        <v>0</v>
      </c>
      <c r="E12">
        <f>(накопительные!E12/SUM(накопительные!E$2:E$34))^$B$39</f>
        <v>0</v>
      </c>
      <c r="F12">
        <f>(накопительные!F12/SUM(накопительные!F$2:F$34))^$B$39</f>
        <v>2.2466335826134961E-6</v>
      </c>
      <c r="G12">
        <f>(накопительные!G12/SUM(накопительные!G$2:G$34))^$B$39</f>
        <v>3.5283970336304294E-6</v>
      </c>
      <c r="H12">
        <f>(накопительные!H12/SUM(накопительные!H$2:H$34))^$B$39</f>
        <v>3.5472391603229511E-6</v>
      </c>
      <c r="I12">
        <f>(накопительные!I12/SUM(накопительные!I$2:I$34))^$B$39</f>
        <v>4.2308189584394514E-6</v>
      </c>
      <c r="J12">
        <f>(накопительные!J12/SUM(накопительные!J$2:J$34))^$B$39</f>
        <v>4.1859984019684931E-6</v>
      </c>
      <c r="K12">
        <f>(накопительные!K12/SUM(накопительные!K$2:K$34))^$B$39</f>
        <v>3.2681971353181521E-6</v>
      </c>
      <c r="L12">
        <f>(накопительные!L12/SUM(накопительные!L$2:L$34))^$B$39</f>
        <v>2.6450751179539566E-6</v>
      </c>
      <c r="M12">
        <f>(накопительные!M12/SUM(накопительные!M$2:M$34))^$B$39</f>
        <v>3.1417058610022111E-6</v>
      </c>
      <c r="N12">
        <f>(накопительные!N12/SUM(накопительные!N$2:N$34))^$B$39</f>
        <v>3.7874636552368568E-6</v>
      </c>
      <c r="O12">
        <f>(накопительные!O12/SUM(накопительные!O$2:O$34))^$B$39</f>
        <v>3.2967400300918364E-6</v>
      </c>
      <c r="P12">
        <f>(накопительные!P12/SUM(накопительные!P$2:P$34))^$B$39</f>
        <v>2.6809140780936074E-6</v>
      </c>
      <c r="Q12">
        <f>(накопительные!Q12/SUM(накопительные!Q$2:Q$34))^$B$39</f>
        <v>2.2156234343680147E-6</v>
      </c>
      <c r="R12">
        <f>(накопительные!R12/SUM(накопительные!R$2:R$34))^$B$39</f>
        <v>1.9612325409508782E-6</v>
      </c>
      <c r="S12">
        <f>(накопительные!S12/SUM(накопительные!S$2:S$34))^$B$39</f>
        <v>2.4135826028287322E-6</v>
      </c>
      <c r="T12">
        <f>(накопительные!T12/SUM(накопительные!T$2:T$34))^$B$39</f>
        <v>2.2556184626635553E-6</v>
      </c>
    </row>
    <row r="13" spans="1:20" x14ac:dyDescent="0.25">
      <c r="A13" t="s">
        <v>31</v>
      </c>
      <c r="B13">
        <f>(накопительные!B13/SUM(накопительные!B$2:B$34))^$B$39</f>
        <v>0</v>
      </c>
      <c r="C13">
        <f>(накопительные!C13/SUM(накопительные!C$2:C$34))^$B$39</f>
        <v>0</v>
      </c>
      <c r="D13">
        <f>(накопительные!D13/SUM(накопительные!D$2:D$34))^$B$39</f>
        <v>0</v>
      </c>
      <c r="E13">
        <f>(накопительные!E13/SUM(накопительные!E$2:E$34))^$B$39</f>
        <v>0</v>
      </c>
      <c r="F13">
        <f>(накопительные!F13/SUM(накопительные!F$2:F$34))^$B$39</f>
        <v>5.3253536773060612E-6</v>
      </c>
      <c r="G13">
        <f>(накопительные!G13/SUM(накопительные!G$2:G$34))^$B$39</f>
        <v>2.0341992295900078E-5</v>
      </c>
      <c r="H13">
        <f>(накопительные!H13/SUM(накопительные!H$2:H$34))^$B$39</f>
        <v>1.3879016163137971E-5</v>
      </c>
      <c r="I13">
        <f>(накопительные!I13/SUM(накопительные!I$2:I$34))^$B$39</f>
        <v>4.7351138884159986E-5</v>
      </c>
      <c r="J13">
        <f>(накопительные!J13/SUM(накопительные!J$2:J$34))^$B$39</f>
        <v>3.2333332519261207E-5</v>
      </c>
      <c r="K13">
        <f>(накопительные!K13/SUM(накопительные!K$2:K$34))^$B$39</f>
        <v>7.2399649681895273E-5</v>
      </c>
      <c r="L13">
        <f>(накопительные!L13/SUM(накопительные!L$2:L$34))^$B$39</f>
        <v>5.1709645886410588E-5</v>
      </c>
      <c r="M13">
        <f>(накопительные!M13/SUM(накопительные!M$2:M$34))^$B$39</f>
        <v>3.7034231342600788E-5</v>
      </c>
      <c r="N13">
        <f>(накопительные!N13/SUM(накопительные!N$2:N$34))^$B$39</f>
        <v>3.0299709241894827E-5</v>
      </c>
      <c r="O13">
        <f>(накопительные!O13/SUM(накопительные!O$2:O$34))^$B$39</f>
        <v>2.5816743360789588E-5</v>
      </c>
      <c r="P13">
        <f>(накопительные!P13/SUM(накопительные!P$2:P$34))^$B$39</f>
        <v>2.0553791949084698E-5</v>
      </c>
      <c r="Q13">
        <f>(накопительные!Q13/SUM(накопительные!Q$2:Q$34))^$B$39</f>
        <v>1.6288555340968548E-5</v>
      </c>
      <c r="R13">
        <f>(накопительные!R13/SUM(накопительные!R$2:R$34))^$B$39</f>
        <v>1.1914776157789322E-5</v>
      </c>
      <c r="S13">
        <f>(накопительные!S13/SUM(накопительные!S$2:S$34))^$B$39</f>
        <v>1.0940398521794366E-5</v>
      </c>
      <c r="T13">
        <f>(накопительные!T13/SUM(накопительные!T$2:T$34))^$B$39</f>
        <v>9.8738525602928865E-6</v>
      </c>
    </row>
    <row r="14" spans="1:20" x14ac:dyDescent="0.25">
      <c r="A14" t="s">
        <v>32</v>
      </c>
      <c r="B14">
        <f>(накопительные!B14/SUM(накопительные!B$2:B$34))^$B$39</f>
        <v>3.9219420525346386E-4</v>
      </c>
      <c r="C14">
        <f>(накопительные!C14/SUM(накопительные!C$2:C$34))^$B$39</f>
        <v>2.9203573094310192E-3</v>
      </c>
      <c r="D14">
        <f>(накопительные!D14/SUM(накопительные!D$2:D$34))^$B$39</f>
        <v>5.2750373247469626E-3</v>
      </c>
      <c r="E14">
        <f>(накопительные!E14/SUM(накопительные!E$2:E$34))^$B$39</f>
        <v>7.6186431609024221E-3</v>
      </c>
      <c r="F14">
        <f>(накопительные!F14/SUM(накопительные!F$2:F$34))^$B$39</f>
        <v>5.2120521200776371E-3</v>
      </c>
      <c r="G14">
        <f>(накопительные!G14/SUM(накопительные!G$2:G$34))^$B$39</f>
        <v>4.0244945175265303E-3</v>
      </c>
      <c r="H14">
        <f>(накопительные!H14/SUM(накопительные!H$2:H$34))^$B$39</f>
        <v>3.326260186922073E-3</v>
      </c>
      <c r="I14">
        <f>(накопительные!I14/SUM(накопительные!I$2:I$34))^$B$39</f>
        <v>2.8728506719099397E-3</v>
      </c>
      <c r="J14">
        <f>(накопительные!J14/SUM(накопительные!J$2:J$34))^$B$39</f>
        <v>3.7903008541592641E-3</v>
      </c>
      <c r="K14">
        <f>(накопительные!K14/SUM(накопительные!K$2:K$34))^$B$39</f>
        <v>2.2661813601518046E-3</v>
      </c>
      <c r="L14">
        <f>(накопительные!L14/SUM(накопительные!L$2:L$34))^$B$39</f>
        <v>1.6244067568134712E-3</v>
      </c>
      <c r="M14">
        <f>(накопительные!M14/SUM(накопительные!M$2:M$34))^$B$39</f>
        <v>1.1760082999023088E-3</v>
      </c>
      <c r="N14">
        <f>(накопительные!N14/SUM(накопительные!N$2:N$34))^$B$39</f>
        <v>9.6907800435337731E-4</v>
      </c>
      <c r="O14">
        <f>(накопительные!O14/SUM(накопительные!O$2:O$34))^$B$39</f>
        <v>6.9208497259749975E-4</v>
      </c>
      <c r="P14">
        <f>(накопительные!P14/SUM(накопительные!P$2:P$34))^$B$39</f>
        <v>6.6900662505573394E-4</v>
      </c>
      <c r="Q14">
        <f>(накопительные!Q14/SUM(накопительные!Q$2:Q$34))^$B$39</f>
        <v>5.8917109734263253E-4</v>
      </c>
      <c r="R14">
        <f>(накопительные!R14/SUM(накопительные!R$2:R$34))^$B$39</f>
        <v>6.0056357556262689E-4</v>
      </c>
      <c r="S14">
        <f>(накопительные!S14/SUM(накопительные!S$2:S$34))^$B$39</f>
        <v>5.4140277601941536E-4</v>
      </c>
      <c r="T14">
        <f>(накопительные!T14/SUM(накопительные!T$2:T$34))^$B$39</f>
        <v>5.3817869000506681E-4</v>
      </c>
    </row>
    <row r="15" spans="1:20" x14ac:dyDescent="0.25">
      <c r="A15" t="s">
        <v>33</v>
      </c>
      <c r="B15">
        <f>(накопительные!B15/SUM(накопительные!B$2:B$34))^$B$39</f>
        <v>1.6267044585217061E-5</v>
      </c>
      <c r="C15">
        <f>(накопительные!C15/SUM(накопительные!C$2:C$34))^$B$39</f>
        <v>1.4748560089286795E-5</v>
      </c>
      <c r="D15">
        <f>(накопительные!D15/SUM(накопительные!D$2:D$34))^$B$39</f>
        <v>9.9348852659208432E-6</v>
      </c>
      <c r="E15">
        <f>(накопительные!E15/SUM(накопительные!E$2:E$34))^$B$39</f>
        <v>5.1300844068869161E-6</v>
      </c>
      <c r="F15">
        <f>(накопительные!F15/SUM(накопительные!F$2:F$34))^$B$39</f>
        <v>7.2270231140955218E-6</v>
      </c>
      <c r="G15">
        <f>(накопительные!G15/SUM(накопительные!G$2:G$34))^$B$39</f>
        <v>9.9709152468261368E-6</v>
      </c>
      <c r="H15">
        <f>(накопительные!H15/SUM(накопительные!H$2:H$34))^$B$39</f>
        <v>8.4082706022469917E-6</v>
      </c>
      <c r="I15">
        <f>(накопительные!I15/SUM(накопительные!I$2:I$34))^$B$39</f>
        <v>1.1478926120345351E-5</v>
      </c>
      <c r="J15">
        <f>(накопительные!J15/SUM(накопительные!J$2:J$34))^$B$39</f>
        <v>2.3111837127580217E-5</v>
      </c>
      <c r="K15">
        <f>(накопительные!K15/SUM(накопительные!K$2:K$34))^$B$39</f>
        <v>1.4938207208031927E-5</v>
      </c>
      <c r="L15">
        <f>(накопительные!L15/SUM(накопительные!L$2:L$34))^$B$39</f>
        <v>1.194826446260119E-5</v>
      </c>
      <c r="M15">
        <f>(накопительные!M15/SUM(накопительные!M$2:M$34))^$B$39</f>
        <v>9.5437575886642194E-6</v>
      </c>
      <c r="N15">
        <f>(накопительные!N15/SUM(накопительные!N$2:N$34))^$B$39</f>
        <v>8.0904642752328155E-6</v>
      </c>
      <c r="O15">
        <f>(накопительные!O15/SUM(накопительные!O$2:O$34))^$B$39</f>
        <v>5.839349155051253E-6</v>
      </c>
      <c r="P15">
        <f>(накопительные!P15/SUM(накопительные!P$2:P$34))^$B$39</f>
        <v>8.0192684181418992E-6</v>
      </c>
      <c r="Q15">
        <f>(накопительные!Q15/SUM(накопительные!Q$2:Q$34))^$B$39</f>
        <v>6.7352137939501921E-6</v>
      </c>
      <c r="R15">
        <f>(накопительные!R15/SUM(накопительные!R$2:R$34))^$B$39</f>
        <v>7.2942097229383667E-6</v>
      </c>
      <c r="S15">
        <f>(накопительные!S15/SUM(накопительные!S$2:S$34))^$B$39</f>
        <v>7.7798974829266378E-6</v>
      </c>
      <c r="T15">
        <f>(накопительные!T15/SUM(накопительные!T$2:T$34))^$B$39</f>
        <v>8.8248002894037555E-6</v>
      </c>
    </row>
    <row r="16" spans="1:20" x14ac:dyDescent="0.25">
      <c r="A16" t="s">
        <v>34</v>
      </c>
      <c r="B16">
        <f>(накопительные!B16/SUM(накопительные!B$2:B$34))^$B$39</f>
        <v>1.1424865332827347E-5</v>
      </c>
      <c r="C16">
        <f>(накопительные!C16/SUM(накопительные!C$2:C$34))^$B$39</f>
        <v>1.408981973777696E-6</v>
      </c>
      <c r="D16">
        <f>(накопительные!D16/SUM(накопительные!D$2:D$34))^$B$39</f>
        <v>3.1643563116828591E-6</v>
      </c>
      <c r="E16">
        <f>(накопительные!E16/SUM(накопительные!E$2:E$34))^$B$39</f>
        <v>1.9734058725214883E-6</v>
      </c>
      <c r="F16">
        <f>(накопительные!F16/SUM(накопительные!F$2:F$34))^$B$39</f>
        <v>5.9165475052759471E-6</v>
      </c>
      <c r="G16">
        <f>(накопительные!G16/SUM(накопительные!G$2:G$34))^$B$39</f>
        <v>3.5283970336304281E-6</v>
      </c>
      <c r="H16">
        <f>(накопительные!H16/SUM(накопительные!H$2:H$34))^$B$39</f>
        <v>2.9405849632740919E-6</v>
      </c>
      <c r="I16">
        <f>(накопительные!I16/SUM(накопительные!I$2:I$34))^$B$39</f>
        <v>2.7708656675433476E-6</v>
      </c>
      <c r="J16">
        <f>(накопительные!J16/SUM(накопительные!J$2:J$34))^$B$39</f>
        <v>1.9441348796084548E-6</v>
      </c>
      <c r="K16">
        <f>(накопительные!K16/SUM(накопительные!K$2:K$34))^$B$39</f>
        <v>1.16237797349385E-6</v>
      </c>
      <c r="L16">
        <f>(накопительные!L16/SUM(накопительные!L$2:L$34))^$B$39</f>
        <v>8.3019950593160264E-7</v>
      </c>
      <c r="M16">
        <f>(накопительные!M16/SUM(накопительные!M$2:M$34))^$B$39</f>
        <v>5.9458540154621139E-7</v>
      </c>
      <c r="N16">
        <f>(накопительные!N16/SUM(накопительные!N$2:N$34))^$B$39</f>
        <v>4.8646250058933465E-7</v>
      </c>
      <c r="O16">
        <f>(накопительные!O16/SUM(накопительные!O$2:O$34))^$B$39</f>
        <v>3.4741618825073648E-7</v>
      </c>
      <c r="P16">
        <f>(накопительные!P16/SUM(накопительные!P$2:P$34))^$B$39</f>
        <v>3.0226663362723328E-7</v>
      </c>
      <c r="Q16">
        <f>(накопительные!Q16/SUM(накопительные!Q$2:Q$34))^$B$39</f>
        <v>2.8393461132902452E-7</v>
      </c>
      <c r="R16">
        <f>(накопительные!R16/SUM(накопительные!R$2:R$34))^$B$39</f>
        <v>2.0548342222784756E-7</v>
      </c>
      <c r="S16">
        <f>(накопительные!S16/SUM(накопительные!S$2:S$34))^$B$39</f>
        <v>1.8470714592667632E-7</v>
      </c>
      <c r="T16">
        <f>(накопительные!T16/SUM(накопительные!T$2:T$34))^$B$39</f>
        <v>3.2397531765361549E-7</v>
      </c>
    </row>
    <row r="17" spans="1:20" x14ac:dyDescent="0.25">
      <c r="A17" t="s">
        <v>35</v>
      </c>
      <c r="B17">
        <f>(накопительные!B17/SUM(накопительные!B$2:B$34))^$B$39</f>
        <v>0</v>
      </c>
      <c r="C17">
        <f>(накопительные!C17/SUM(накопительные!C$2:C$34))^$B$39</f>
        <v>0</v>
      </c>
      <c r="D17">
        <f>(накопительные!D17/SUM(накопительные!D$2:D$34))^$B$39</f>
        <v>0</v>
      </c>
      <c r="E17">
        <f>(накопительные!E17/SUM(накопительные!E$2:E$34))^$B$39</f>
        <v>0</v>
      </c>
      <c r="F17">
        <f>(накопительные!F17/SUM(накопительные!F$2:F$34))^$B$39</f>
        <v>6.5499521358994032E-9</v>
      </c>
      <c r="G17">
        <f>(накопительные!G17/SUM(накопительные!G$2:G$34))^$B$39</f>
        <v>3.906134729100067E-9</v>
      </c>
      <c r="H17">
        <f>(накопительные!H17/SUM(накопительные!H$2:H$34))^$B$39</f>
        <v>2.6650932834883167E-9</v>
      </c>
      <c r="I17">
        <f>(накопительные!I17/SUM(накопительные!I$2:I$34))^$B$39</f>
        <v>2.0817923873353462E-9</v>
      </c>
      <c r="J17">
        <f>(накопительные!J17/SUM(накопительные!J$2:J$34))^$B$39</f>
        <v>1.4215346680562625E-9</v>
      </c>
      <c r="K17">
        <f>(накопительные!K17/SUM(накопительные!K$2:K$34))^$B$39</f>
        <v>8.4992075603276762E-10</v>
      </c>
      <c r="L17">
        <f>(накопительные!L17/SUM(накопительные!L$2:L$34))^$B$39</f>
        <v>6.0703472349749484E-10</v>
      </c>
      <c r="M17">
        <f>(накопительные!M17/SUM(накопительные!M$2:M$34))^$B$39</f>
        <v>4.3475572105795446E-10</v>
      </c>
      <c r="N17">
        <f>(накопительные!N17/SUM(накопительные!N$2:N$34))^$B$39</f>
        <v>3.5569718775702979E-10</v>
      </c>
      <c r="O17">
        <f>(накопительные!O17/SUM(накопительные!O$2:O$34))^$B$39</f>
        <v>2.5402772257336693E-10</v>
      </c>
      <c r="P17">
        <f>(накопительные!P17/SUM(накопительные!P$2:P$34))^$B$39</f>
        <v>3.8351098680507903E-9</v>
      </c>
      <c r="Q17">
        <f>(накопительные!Q17/SUM(накопительные!Q$2:Q$34))^$B$39</f>
        <v>3.0392639703264946E-9</v>
      </c>
      <c r="R17">
        <f>(накопительные!R17/SUM(накопительные!R$2:R$34))^$B$39</f>
        <v>1.3096671117216874E-8</v>
      </c>
      <c r="S17">
        <f>(накопительные!S17/SUM(накопительные!S$2:S$34))^$B$39</f>
        <v>1.1772476421573004E-8</v>
      </c>
      <c r="T17">
        <f>(накопительные!T17/SUM(накопительные!T$2:T$34))^$B$39</f>
        <v>1.062481373275161E-8</v>
      </c>
    </row>
    <row r="18" spans="1:20" x14ac:dyDescent="0.25">
      <c r="A18" t="s">
        <v>36</v>
      </c>
      <c r="B18">
        <f>(накопительные!B18/SUM(накопительные!B$2:B$34))^$B$39</f>
        <v>0</v>
      </c>
      <c r="C18">
        <f>(накопительные!C18/SUM(накопительные!C$2:C$34))^$B$39</f>
        <v>0</v>
      </c>
      <c r="D18">
        <f>(накопительные!D18/SUM(накопительные!D$2:D$34))^$B$39</f>
        <v>1.1531910756861738E-9</v>
      </c>
      <c r="E18">
        <f>(накопительные!E18/SUM(накопительные!E$2:E$34))^$B$39</f>
        <v>7.5279459858760439E-9</v>
      </c>
      <c r="F18">
        <f>(накопительные!F18/SUM(накопительные!F$2:F$34))^$B$39</f>
        <v>5.3253536773060641E-9</v>
      </c>
      <c r="G18">
        <f>(накопительные!G18/SUM(накопительные!G$2:G$34))^$B$39</f>
        <v>3.1758322064149892E-9</v>
      </c>
      <c r="H18">
        <f>(накопительные!H18/SUM(накопительные!H$2:H$34))^$B$39</f>
        <v>5.4162592093174429E-9</v>
      </c>
      <c r="I18">
        <f>(накопительные!I18/SUM(накопительные!I$2:I$34))^$B$39</f>
        <v>4.230818958439451E-9</v>
      </c>
      <c r="J18">
        <f>(накопительные!J18/SUM(накопительные!J$2:J$34))^$B$39</f>
        <v>1.6554666249861724E-8</v>
      </c>
      <c r="K18">
        <f>(накопительные!K18/SUM(накопительные!K$2:K$34))^$B$39</f>
        <v>9.897862339292412E-9</v>
      </c>
      <c r="L18">
        <f>(накопительные!L18/SUM(накопительные!L$2:L$34))^$B$39</f>
        <v>7.069301562176454E-9</v>
      </c>
      <c r="M18">
        <f>(накопительные!M18/SUM(накопительные!M$2:M$34))^$B$39</f>
        <v>2.0283962921679935E-8</v>
      </c>
      <c r="N18">
        <f>(накопительные!N18/SUM(накопительные!N$2:N$34))^$B$39</f>
        <v>2.762781735922337E-8</v>
      </c>
      <c r="O18">
        <f>(накопительные!O18/SUM(накопительные!O$2:O$34))^$B$39</f>
        <v>1.9730916535191917E-8</v>
      </c>
      <c r="P18">
        <f>(накопительные!P18/SUM(накопительные!P$2:P$34))^$B$39</f>
        <v>1.5708610019536031E-8</v>
      </c>
      <c r="Q18">
        <f>(накопительные!Q18/SUM(накопительные!Q$2:Q$34))^$B$39</f>
        <v>1.2448825222457322E-8</v>
      </c>
      <c r="R18">
        <f>(накопительные!R18/SUM(накопительные!R$2:R$34))^$B$39</f>
        <v>9.0092123586251467E-9</v>
      </c>
      <c r="S18">
        <f>(накопительные!S18/SUM(накопительные!S$2:S$34))^$B$39</f>
        <v>8.09829758414192E-9</v>
      </c>
      <c r="T18">
        <f>(накопительные!T18/SUM(накопительные!T$2:T$34))^$B$39</f>
        <v>8.1992143690285083E-9</v>
      </c>
    </row>
    <row r="19" spans="1:20" x14ac:dyDescent="0.25">
      <c r="A19" t="s">
        <v>37</v>
      </c>
      <c r="B19">
        <f>(накопительные!B19/SUM(накопительные!B$2:B$34))^$B$39</f>
        <v>2.2314190103178412E-8</v>
      </c>
      <c r="C19">
        <f>(накопительные!C19/SUM(накопительные!C$2:C$34))^$B$39</f>
        <v>3.4398973969182032E-10</v>
      </c>
      <c r="D19">
        <f>(накопительные!D19/SUM(накопительные!D$2:D$34))^$B$39</f>
        <v>4.9443067370044673E-8</v>
      </c>
      <c r="E19">
        <f>(накопительные!E19/SUM(накопительные!E$2:E$34))^$B$39</f>
        <v>3.0834466758148254E-8</v>
      </c>
      <c r="F19">
        <f>(накопительные!F19/SUM(накопительные!F$2:F$34))^$B$39</f>
        <v>5.9165475052759471E-6</v>
      </c>
      <c r="G19">
        <f>(накопительные!G19/SUM(накопительные!G$2:G$34))^$B$39</f>
        <v>1.2323710398654081E-5</v>
      </c>
      <c r="H19">
        <f>(накопительные!H19/SUM(накопительные!H$2:H$34))^$B$39</f>
        <v>1.1260919825560806E-5</v>
      </c>
      <c r="I19">
        <f>(накопительные!I19/SUM(накопительные!I$2:I$34))^$B$39</f>
        <v>1.1157106075875382E-5</v>
      </c>
      <c r="J19">
        <f>(накопительные!J19/SUM(накопительные!J$2:J$34))^$B$39</f>
        <v>2.6454227097026535E-5</v>
      </c>
      <c r="K19">
        <f>(накопительные!K19/SUM(накопительные!K$2:K$34))^$B$39</f>
        <v>5.0675590559103967E-4</v>
      </c>
      <c r="L19">
        <f>(накопительные!L19/SUM(накопительные!L$2:L$34))^$B$39</f>
        <v>1.088785599154534E-3</v>
      </c>
      <c r="M19">
        <f>(накопительные!M19/SUM(накопительные!M$2:M$34))^$B$39</f>
        <v>1.7863301054386292E-3</v>
      </c>
      <c r="N19">
        <f>(накопительные!N19/SUM(накопительные!N$2:N$34))^$B$39</f>
        <v>1.9668572098466321E-3</v>
      </c>
      <c r="O19">
        <f>(накопительные!O19/SUM(накопительные!O$2:O$34))^$B$39</f>
        <v>4.236954771930871E-3</v>
      </c>
      <c r="P19">
        <f>(накопительные!P19/SUM(накопительные!P$2:P$34))^$B$39</f>
        <v>3.7849939490790796E-3</v>
      </c>
      <c r="Q19">
        <f>(накопительные!Q19/SUM(накопительные!Q$2:Q$34))^$B$39</f>
        <v>3.0793290846815044E-3</v>
      </c>
      <c r="R19">
        <f>(накопительные!R19/SUM(накопительные!R$2:R$34))^$B$39</f>
        <v>2.2285098513504793E-3</v>
      </c>
      <c r="S19">
        <f>(накопительные!S19/SUM(накопительные!S$2:S$34))^$B$39</f>
        <v>2.0332529711415579E-3</v>
      </c>
      <c r="T19">
        <f>(накопительные!T19/SUM(накопительные!T$2:T$34))^$B$39</f>
        <v>1.8418632855639252E-3</v>
      </c>
    </row>
    <row r="20" spans="1:20" x14ac:dyDescent="0.25">
      <c r="A20" t="s">
        <v>38</v>
      </c>
      <c r="B20">
        <f>(накопительные!B20/SUM(накопительные!B$2:B$34))^$B$39</f>
        <v>4.8198650622865366E-9</v>
      </c>
      <c r="C20">
        <f>(накопительные!C20/SUM(накопительные!C$2:C$34))^$B$39</f>
        <v>7.430178377343315E-11</v>
      </c>
      <c r="D20">
        <f>(накопительные!D20/SUM(накопительные!D$2:D$34))^$B$39</f>
        <v>5.9043383075132091E-10</v>
      </c>
      <c r="E20">
        <f>(накопительные!E20/SUM(накопительные!E$2:E$34))^$B$39</f>
        <v>2.4667573406518612E-10</v>
      </c>
      <c r="F20">
        <f>(накопительные!F20/SUM(накопительные!F$2:F$34))^$B$39</f>
        <v>5.3297203120633293E-10</v>
      </c>
      <c r="G20">
        <f>(накопительные!G20/SUM(накопительные!G$2:G$34))^$B$39</f>
        <v>1.1636765971462015E-7</v>
      </c>
      <c r="H20">
        <f>(накопительные!H20/SUM(накопительные!H$2:H$34))^$B$39</f>
        <v>7.9395794008400475E-8</v>
      </c>
      <c r="I20">
        <f>(накопительные!I20/SUM(накопительные!I$2:I$34))^$B$39</f>
        <v>1.4347921312753946E-7</v>
      </c>
      <c r="J20">
        <f>(накопительные!J20/SUM(накопительные!J$2:J$34))^$B$39</f>
        <v>9.7973590857105687E-8</v>
      </c>
      <c r="K20">
        <f>(накопительные!K20/SUM(накопительные!K$2:K$34))^$B$39</f>
        <v>5.8577388426534386E-8</v>
      </c>
      <c r="L20">
        <f>(накопительные!L20/SUM(накопительные!L$2:L$34))^$B$39</f>
        <v>4.1837440178170847E-8</v>
      </c>
      <c r="M20">
        <f>(накопительные!M20/SUM(накопительные!M$2:M$34))^$B$39</f>
        <v>4.2317382864897048E-8</v>
      </c>
      <c r="N20">
        <f>(накопительные!N20/SUM(накопительные!N$2:N$34))^$B$39</f>
        <v>3.4622141467518253E-8</v>
      </c>
      <c r="O20">
        <f>(накопительные!O20/SUM(накопительные!O$2:O$34))^$B$39</f>
        <v>3.0500186622835563E-8</v>
      </c>
      <c r="P20">
        <f>(накопительные!P20/SUM(накопительные!P$2:P$34))^$B$39</f>
        <v>2.6827619718522926E-8</v>
      </c>
      <c r="Q20">
        <f>(накопительные!Q20/SUM(накопительные!Q$2:Q$34))^$B$39</f>
        <v>2.5707584612694441E-8</v>
      </c>
      <c r="R20">
        <f>(накопительные!R20/SUM(накопительные!R$2:R$34))^$B$39</f>
        <v>1.8604573914756196E-8</v>
      </c>
      <c r="S20">
        <f>(накопительные!S20/SUM(накопительные!S$2:S$34))^$B$39</f>
        <v>1.6723479255499777E-8</v>
      </c>
      <c r="T20">
        <f>(накопительные!T20/SUM(накопительные!T$2:T$34))^$B$39</f>
        <v>1.5093158456245951E-8</v>
      </c>
    </row>
    <row r="21" spans="1:20" x14ac:dyDescent="0.25">
      <c r="A21" t="s">
        <v>39</v>
      </c>
      <c r="B21">
        <f>(накопительные!B21/SUM(накопительные!B$2:B$34))^$B$39</f>
        <v>4.8198650622865359E-6</v>
      </c>
      <c r="C21">
        <f>(накопительные!C21/SUM(накопительные!C$2:C$34))^$B$39</f>
        <v>1.408981973777696E-6</v>
      </c>
      <c r="D21">
        <f>(накопительные!D21/SUM(накопительные!D$2:D$34))^$B$39</f>
        <v>3.1136159043526675E-5</v>
      </c>
      <c r="E21">
        <f>(накопительные!E21/SUM(накопительные!E$2:E$34))^$B$39</f>
        <v>2.2478326266690091E-5</v>
      </c>
      <c r="F21">
        <f>(накопительные!F21/SUM(накопительные!F$2:F$34))^$B$39</f>
        <v>2.8540567364312186E-5</v>
      </c>
      <c r="G21">
        <f>(накопительные!G21/SUM(накопительные!G$2:G$34))^$B$39</f>
        <v>2.5406657651319918E-5</v>
      </c>
      <c r="H21">
        <f>(накопительные!H21/SUM(накопительные!H$2:H$34))^$B$39</f>
        <v>2.0792157094953193E-5</v>
      </c>
      <c r="I21">
        <f>(накопительные!I21/SUM(накопительные!I$2:I$34))^$B$39</f>
        <v>1.6488350235505201E-5</v>
      </c>
      <c r="J21">
        <f>(накопительные!J21/SUM(накопительные!J$2:J$34))^$B$39</f>
        <v>1.7145849454462946E-5</v>
      </c>
      <c r="K21">
        <f>(накопительные!K21/SUM(накопительные!K$2:K$34))^$B$39</f>
        <v>1.0704858697462509E-5</v>
      </c>
      <c r="L21">
        <f>(накопительные!L21/SUM(накопительные!L$2:L$34))^$B$39</f>
        <v>7.8111638013509776E-6</v>
      </c>
      <c r="M21">
        <f>(накопительные!M21/SUM(накопительные!M$2:M$34))^$B$39</f>
        <v>5.5943227286769075E-6</v>
      </c>
      <c r="N21">
        <f>(накопительные!N21/SUM(накопительные!N$2:N$34))^$B$39</f>
        <v>4.5770182325682401E-6</v>
      </c>
      <c r="O21">
        <f>(накопительные!O21/SUM(накопительные!O$2:O$34))^$B$39</f>
        <v>4.0170041380110176E-6</v>
      </c>
      <c r="P21">
        <f>(накопительные!P21/SUM(накопительные!P$2:P$34))^$B$39</f>
        <v>4.1754891044636112E-6</v>
      </c>
      <c r="Q21">
        <f>(накопительные!Q21/SUM(накопительные!Q$2:Q$34))^$B$39</f>
        <v>4.370807822043559E-6</v>
      </c>
      <c r="R21">
        <f>(накопительные!R21/SUM(накопительные!R$2:R$34))^$B$39</f>
        <v>4.3347066697288462E-6</v>
      </c>
      <c r="S21">
        <f>(накопительные!S21/SUM(накопительные!S$2:S$34))^$B$39</f>
        <v>4.381438780089133E-6</v>
      </c>
      <c r="T21">
        <f>(накопительные!T21/SUM(накопительные!T$2:T$34))^$B$39</f>
        <v>5.4822200357414407E-6</v>
      </c>
    </row>
    <row r="22" spans="1:20" x14ac:dyDescent="0.25">
      <c r="A22" t="s">
        <v>40</v>
      </c>
      <c r="B22">
        <f>(накопительные!B22/SUM(накопительные!B$2:B$34))^$B$39</f>
        <v>0</v>
      </c>
      <c r="C22">
        <f>(накопительные!C22/SUM(накопительные!C$2:C$34))^$B$39</f>
        <v>0</v>
      </c>
      <c r="D22">
        <f>(накопительные!D22/SUM(накопительные!D$2:D$34))^$B$39</f>
        <v>0</v>
      </c>
      <c r="E22">
        <f>(накопительные!E22/SUM(накопительные!E$2:E$34))^$B$39</f>
        <v>0</v>
      </c>
      <c r="F22">
        <f>(накопительные!F22/SUM(накопительные!F$2:F$34))^$B$39</f>
        <v>1.9407265587850091E-12</v>
      </c>
      <c r="G22">
        <f>(накопительные!G22/SUM(накопительные!G$2:G$34))^$B$39</f>
        <v>4.9622378225234206E-11</v>
      </c>
      <c r="H22">
        <f>(накопительные!H22/SUM(накопительные!H$2:H$34))^$B$39</f>
        <v>1.9428530036629839E-9</v>
      </c>
      <c r="I22">
        <f>(накопительные!I22/SUM(накопительные!I$2:I$34))^$B$39</f>
        <v>1.5176266503674678E-9</v>
      </c>
      <c r="J22">
        <f>(накопительные!J22/SUM(накопительные!J$2:J$34))^$B$39</f>
        <v>3.4669809019224181E-8</v>
      </c>
      <c r="K22">
        <f>(накопительные!K22/SUM(накопительные!K$2:K$34))^$B$39</f>
        <v>2.0728717318883174E-8</v>
      </c>
      <c r="L22">
        <f>(накопительные!L22/SUM(накопительные!L$2:L$34))^$B$39</f>
        <v>1.4804969871380402E-8</v>
      </c>
      <c r="M22">
        <f>(накопительные!M22/SUM(накопительные!M$2:M$34))^$B$39</f>
        <v>1.0603257280882452E-8</v>
      </c>
      <c r="N22">
        <f>(накопительные!N22/SUM(накопительные!N$2:N$34))^$B$39</f>
        <v>8.675098712206203E-9</v>
      </c>
      <c r="O22">
        <f>(накопительные!O22/SUM(накопительные!O$2:O$34))^$B$39</f>
        <v>6.1954821258418462E-9</v>
      </c>
      <c r="P22">
        <f>(накопительные!P22/SUM(накопительные!P$2:P$34))^$B$39</f>
        <v>4.9324831121895478E-9</v>
      </c>
      <c r="Q22">
        <f>(накопительные!Q22/SUM(накопительные!Q$2:Q$34))^$B$39</f>
        <v>3.9089149262732562E-9</v>
      </c>
      <c r="R22">
        <f>(накопительные!R22/SUM(накопительные!R$2:R$34))^$B$39</f>
        <v>2.8288809613188435E-9</v>
      </c>
      <c r="S22">
        <f>(накопительные!S22/SUM(накопительные!S$2:S$34))^$B$39</f>
        <v>2.5428549070597674E-9</v>
      </c>
      <c r="T22">
        <f>(накопительные!T22/SUM(накопительные!T$2:T$34))^$B$39</f>
        <v>2.2949597662743468E-9</v>
      </c>
    </row>
    <row r="23" spans="1:20" x14ac:dyDescent="0.25">
      <c r="A23" t="s">
        <v>41</v>
      </c>
      <c r="B23">
        <f>(накопительные!B23/SUM(накопительные!B$2:B$34))^$B$39</f>
        <v>0</v>
      </c>
      <c r="C23">
        <f>(накопительные!C23/SUM(накопительные!C$2:C$34))^$B$39</f>
        <v>1.76122746722212E-7</v>
      </c>
      <c r="D23">
        <f>(накопительные!D23/SUM(накопительные!D$2:D$34))^$B$39</f>
        <v>2.4908927234821363E-7</v>
      </c>
      <c r="E23">
        <f>(накопительные!E23/SUM(накопительные!E$2:E$34))^$B$39</f>
        <v>8.3253060247000357E-7</v>
      </c>
      <c r="F23">
        <f>(накопительные!F23/SUM(накопительные!F$2:F$34))^$B$39</f>
        <v>4.1919693669756207E-7</v>
      </c>
      <c r="G23">
        <f>(накопительные!G23/SUM(накопительные!G$2:G$34))^$B$39</f>
        <v>3.1784362962343904E-7</v>
      </c>
      <c r="H23">
        <f>(накопительные!H23/SUM(накопительные!H$2:H$34))^$B$39</f>
        <v>3.3313666043603984E-7</v>
      </c>
      <c r="I23">
        <f>(накопительные!I23/SUM(накопительные!I$2:I$34))^$B$39</f>
        <v>3.1581561550094768E-7</v>
      </c>
      <c r="J23">
        <f>(накопительные!J23/SUM(накопительные!J$2:J$34))^$B$39</f>
        <v>2.2801137033632077E-7</v>
      </c>
      <c r="K23">
        <f>(накопительные!K23/SUM(накопительные!K$2:K$34))^$B$39</f>
        <v>1.3632562090469045E-7</v>
      </c>
      <c r="L23">
        <f>(накопительные!L23/SUM(накопительные!L$2:L$34))^$B$39</f>
        <v>9.7367178062318793E-8</v>
      </c>
      <c r="M23">
        <f>(накопительные!M23/SUM(накопительные!M$2:M$34))^$B$39</f>
        <v>6.9733964248317591E-8</v>
      </c>
      <c r="N23">
        <f>(накопительные!N23/SUM(накопительные!N$2:N$34))^$B$39</f>
        <v>5.7053130695822032E-8</v>
      </c>
      <c r="O23">
        <f>(накопительные!O23/SUM(накопительные!O$2:O$34))^$B$39</f>
        <v>4.0745548053757099E-8</v>
      </c>
      <c r="P23">
        <f>(накопительные!P23/SUM(накопительные!P$2:P$34))^$B$39</f>
        <v>3.2439239366662812E-8</v>
      </c>
      <c r="Q23">
        <f>(накопительные!Q23/SUM(накопительные!Q$2:Q$34))^$B$39</f>
        <v>2.5707584612694451E-8</v>
      </c>
      <c r="R23">
        <f>(накопительные!R23/SUM(накопительные!R$2:R$34))^$B$39</f>
        <v>1.8604573914756206E-8</v>
      </c>
      <c r="S23">
        <f>(накопительные!S23/SUM(накопительные!S$2:S$34))^$B$39</f>
        <v>1.6723479255499783E-8</v>
      </c>
      <c r="T23">
        <f>(накопительные!T23/SUM(накопительные!T$2:T$34))^$B$39</f>
        <v>2.5054702214648931E-8</v>
      </c>
    </row>
    <row r="24" spans="1:20" x14ac:dyDescent="0.25">
      <c r="A24" t="s">
        <v>42</v>
      </c>
      <c r="B24">
        <f>(накопительные!B24/SUM(накопительные!B$2:B$34))^$B$39</f>
        <v>0</v>
      </c>
      <c r="C24">
        <f>(накопительные!C24/SUM(накопительные!C$2:C$34))^$B$39</f>
        <v>0</v>
      </c>
      <c r="D24">
        <f>(накопительные!D24/SUM(накопительные!D$2:D$34))^$B$39</f>
        <v>0</v>
      </c>
      <c r="E24">
        <f>(накопительные!E24/SUM(накопительные!E$2:E$34))^$B$39</f>
        <v>0</v>
      </c>
      <c r="F24">
        <f>(накопительные!F24/SUM(накопительные!F$2:F$34))^$B$39</f>
        <v>1.7973068660907969E-5</v>
      </c>
      <c r="G24">
        <f>(накопительные!G24/SUM(накопительные!G$2:G$34))^$B$39</f>
        <v>1.2016196325314266E-4</v>
      </c>
      <c r="H24">
        <f>(накопительные!H24/SUM(накопительные!H$2:H$34))^$B$39</f>
        <v>8.19845866582541E-5</v>
      </c>
      <c r="I24">
        <f>(накопительные!I24/SUM(накопительные!I$2:I$34))^$B$39</f>
        <v>2.9838199211860544E-4</v>
      </c>
      <c r="J24">
        <f>(накопительные!J24/SUM(накопительные!J$2:J$34))^$B$39</f>
        <v>2.4083408688707736E-4</v>
      </c>
      <c r="K24">
        <f>(накопительные!K24/SUM(накопительные!K$2:K$34))^$B$39</f>
        <v>1.4399218943102456E-4</v>
      </c>
      <c r="L24">
        <f>(накопительные!L24/SUM(накопительные!L$2:L$34))^$B$39</f>
        <v>1.0284283361317395E-4</v>
      </c>
      <c r="M24">
        <f>(накопительные!M24/SUM(накопительные!M$2:M$34))^$B$39</f>
        <v>7.3655605770833952E-5</v>
      </c>
      <c r="N24">
        <f>(накопительные!N24/SUM(накопительные!N$2:N$34))^$B$39</f>
        <v>6.0261637895119652E-5</v>
      </c>
      <c r="O24">
        <f>(накопительные!O24/SUM(накопительные!O$2:O$34))^$B$39</f>
        <v>4.3036962787276363E-5</v>
      </c>
      <c r="P24">
        <f>(накопительные!P24/SUM(накопительные!P$2:P$34))^$B$39</f>
        <v>3.4263530720674297E-5</v>
      </c>
      <c r="Q24">
        <f>(накопительные!Q24/SUM(накопительные!Q$2:Q$34))^$B$39</f>
        <v>2.7153306684391786E-5</v>
      </c>
      <c r="R24">
        <f>(накопительные!R24/SUM(накопительные!R$2:R$34))^$B$39</f>
        <v>2.0735620162736452E-5</v>
      </c>
      <c r="S24">
        <f>(накопительные!S24/SUM(накопительные!S$2:S$34))^$B$39</f>
        <v>1.8639056999118071E-5</v>
      </c>
      <c r="T24">
        <f>(накопительные!T24/SUM(накопительные!T$2:T$34))^$B$39</f>
        <v>1.6821992389542501E-5</v>
      </c>
    </row>
    <row r="25" spans="1:20" x14ac:dyDescent="0.25">
      <c r="A25" t="s">
        <v>43</v>
      </c>
      <c r="B25">
        <f>(накопительные!B25/SUM(накопительные!B$2:B$34))^$B$39</f>
        <v>2.2314190103178412E-8</v>
      </c>
      <c r="C25">
        <f>(накопительные!C25/SUM(накопительные!C$2:C$34))^$B$39</f>
        <v>4.5785034352981288E-7</v>
      </c>
      <c r="D25">
        <f>(накопительные!D25/SUM(накопительные!D$2:D$34))^$B$39</f>
        <v>1.3349628189912066E-6</v>
      </c>
      <c r="E25">
        <f>(накопительные!E25/SUM(накопительные!E$2:E$34))^$B$39</f>
        <v>7.3274015048123081E-7</v>
      </c>
      <c r="F25">
        <f>(накопительные!F25/SUM(накопительные!F$2:F$34))^$B$39</f>
        <v>4.1919693669756207E-7</v>
      </c>
      <c r="G25">
        <f>(накопительные!G25/SUM(накопительные!G$2:G$34))^$B$39</f>
        <v>3.1784362962343904E-7</v>
      </c>
      <c r="H25">
        <f>(накопительные!H25/SUM(накопительные!H$2:H$34))^$B$39</f>
        <v>2.1685962754903097E-7</v>
      </c>
      <c r="I25">
        <f>(накопительные!I25/SUM(накопительные!I$2:I$34))^$B$39</f>
        <v>1.6939621759169485E-7</v>
      </c>
      <c r="J25">
        <f>(накопительные!J25/SUM(накопительные!J$2:J$34))^$B$39</f>
        <v>1.7769183350703289E-7</v>
      </c>
      <c r="K25">
        <f>(накопительные!K25/SUM(накопительные!K$2:K$34))^$B$39</f>
        <v>1.0624009450409604E-7</v>
      </c>
      <c r="L25">
        <f>(накопительные!L25/SUM(накопительные!L$2:L$34))^$B$39</f>
        <v>7.58793404371869E-8</v>
      </c>
      <c r="M25">
        <f>(накопительные!M25/SUM(накопительные!M$2:M$34))^$B$39</f>
        <v>5.4344465132244355E-8</v>
      </c>
      <c r="N25">
        <f>(накопительные!N25/SUM(накопительные!N$2:N$34))^$B$39</f>
        <v>4.4462148469628768E-8</v>
      </c>
      <c r="O25">
        <f>(накопительные!O25/SUM(накопительные!O$2:O$34))^$B$39</f>
        <v>3.1753465321670879E-8</v>
      </c>
      <c r="P25">
        <f>(накопительные!P25/SUM(накопительные!P$2:P$34))^$B$39</f>
        <v>2.5280265243498865E-8</v>
      </c>
      <c r="Q25">
        <f>(накопительные!Q25/SUM(накопительные!Q$2:Q$34))^$B$39</f>
        <v>2.0034210741898285E-8</v>
      </c>
      <c r="R25">
        <f>(накопительные!R25/SUM(накопительные!R$2:R$34))^$B$39</f>
        <v>1.4498754363231606E-8</v>
      </c>
      <c r="S25">
        <f>(накопительные!S25/SUM(накопительные!S$2:S$34))^$B$39</f>
        <v>1.3032796071280952E-8</v>
      </c>
      <c r="T25">
        <f>(накопительные!T25/SUM(накопительные!T$2:T$34))^$B$39</f>
        <v>1.1762268677858599E-8</v>
      </c>
    </row>
    <row r="26" spans="1:20" x14ac:dyDescent="0.25">
      <c r="A26" t="s">
        <v>44</v>
      </c>
      <c r="B26">
        <f>(накопительные!B26/SUM(накопительные!B$2:B$34))^$B$39</f>
        <v>2.789273762897301E-3</v>
      </c>
      <c r="C26">
        <f>(накопительные!C26/SUM(накопительные!C$2:C$34))^$B$39</f>
        <v>1.3939289827687818E-4</v>
      </c>
      <c r="D26">
        <f>(накопительные!D26/SUM(накопительные!D$2:D$34))^$B$39</f>
        <v>1.3567177686340268E-4</v>
      </c>
      <c r="E26">
        <f>(накопительные!E26/SUM(накопительные!E$2:E$34))^$B$39</f>
        <v>1.204697798355422E-4</v>
      </c>
      <c r="F26">
        <f>(накопительные!F26/SUM(накопительные!F$2:F$34))^$B$39</f>
        <v>4.5142925115832302E-4</v>
      </c>
      <c r="G26">
        <f>(накопительные!G26/SUM(накопительные!G$2:G$34))^$B$39</f>
        <v>8.7216291968671665E-4</v>
      </c>
      <c r="H26">
        <f>(накопительные!H26/SUM(накопительные!H$2:H$34))^$B$39</f>
        <v>7.0961138982646957E-4</v>
      </c>
      <c r="I26">
        <f>(накопительные!I26/SUM(накопительные!I$2:I$34))^$B$39</f>
        <v>5.9398428058994937E-4</v>
      </c>
      <c r="J26">
        <f>(накопительные!J26/SUM(накопительные!J$2:J$34))^$B$39</f>
        <v>7.5080804982576022E-4</v>
      </c>
      <c r="K26">
        <f>(накопительные!K26/SUM(накопительные!K$2:K$34))^$B$39</f>
        <v>6.2304078855030919E-4</v>
      </c>
      <c r="L26">
        <f>(накопительные!L26/SUM(накопительные!L$2:L$34))^$B$39</f>
        <v>4.4499135963061088E-4</v>
      </c>
      <c r="M26">
        <f>(накопительные!M26/SUM(накопительные!M$2:M$34))^$B$39</f>
        <v>3.187009440021997E-4</v>
      </c>
      <c r="N26">
        <f>(накопительные!N26/SUM(накопительные!N$2:N$34))^$B$39</f>
        <v>7.6061548393624087E-4</v>
      </c>
      <c r="O26">
        <f>(накопительные!O26/SUM(накопительные!O$2:O$34))^$B$39</f>
        <v>8.2072605903146128E-4</v>
      </c>
      <c r="P26">
        <f>(накопительные!P26/SUM(накопительные!P$2:P$34))^$B$39</f>
        <v>1.9043541066555861E-3</v>
      </c>
      <c r="Q26">
        <f>(накопительные!Q26/SUM(накопительные!Q$2:Q$34))^$B$39</f>
        <v>4.4511605128556763E-3</v>
      </c>
      <c r="R26">
        <f>(накопительные!R26/SUM(накопительные!R$2:R$34))^$B$39</f>
        <v>9.3188662663457357E-3</v>
      </c>
      <c r="S26">
        <f>(накопительные!S26/SUM(накопительные!S$2:S$34))^$B$39</f>
        <v>1.0437997099995084E-2</v>
      </c>
      <c r="T26">
        <f>(накопительные!T26/SUM(накопительные!T$2:T$34))^$B$39</f>
        <v>1.0935547931725917E-2</v>
      </c>
    </row>
    <row r="27" spans="1:20" x14ac:dyDescent="0.25">
      <c r="A27" t="s">
        <v>45</v>
      </c>
      <c r="B27">
        <f>(накопительные!B27/SUM(накопительные!B$2:B$34))^$B$39</f>
        <v>0</v>
      </c>
      <c r="C27">
        <f>(накопительные!C27/SUM(накопительные!C$2:C$34))^$B$39</f>
        <v>0</v>
      </c>
      <c r="D27">
        <f>(накопительные!D27/SUM(накопительные!D$2:D$34))^$B$39</f>
        <v>0</v>
      </c>
      <c r="E27">
        <f>(накопительные!E27/SUM(накопительные!E$2:E$34))^$B$39</f>
        <v>0</v>
      </c>
      <c r="F27">
        <f>(накопительные!F27/SUM(накопительные!F$2:F$34))^$B$39</f>
        <v>3.0323852481015763E-8</v>
      </c>
      <c r="G27">
        <f>(накопительные!G27/SUM(накопительные!G$2:G$34))^$B$39</f>
        <v>2.200275057822246E-7</v>
      </c>
      <c r="H27">
        <f>(накопительные!H27/SUM(накопительные!H$2:H$34))^$B$39</f>
        <v>1.4515998134681351E-6</v>
      </c>
      <c r="I27">
        <f>(накопительные!I27/SUM(накопительные!I$2:I$34))^$B$39</f>
        <v>1.1338925582297053E-6</v>
      </c>
      <c r="J27">
        <f>(накопительные!J27/SUM(накопительные!J$2:J$34))^$B$39</f>
        <v>1.3516359656978112E-6</v>
      </c>
      <c r="K27">
        <f>(накопительные!K27/SUM(накопительные!K$2:K$34))^$B$39</f>
        <v>8.0812905070950843E-7</v>
      </c>
      <c r="L27">
        <f>(накопительные!L27/SUM(накопительные!L$2:L$34))^$B$39</f>
        <v>7.7179125435416438E-7</v>
      </c>
      <c r="M27">
        <f>(накопительные!M27/SUM(накопительные!M$2:M$34))^$B$39</f>
        <v>5.8857209389246209E-6</v>
      </c>
      <c r="N27">
        <f>(накопительные!N27/SUM(накопительные!N$2:N$34))^$B$39</f>
        <v>1.1838552581134217E-5</v>
      </c>
      <c r="O27">
        <f>(накопительные!O27/SUM(накопительные!O$2:O$34))^$B$39</f>
        <v>1.0736586363393489E-5</v>
      </c>
      <c r="P27">
        <f>(накопительные!P27/SUM(накопительные!P$2:P$34))^$B$39</f>
        <v>8.5478466153765247E-6</v>
      </c>
      <c r="Q27">
        <f>(накопительные!Q27/SUM(накопительные!Q$2:Q$34))^$B$39</f>
        <v>6.7740333747453128E-6</v>
      </c>
      <c r="R27">
        <f>(накопительные!R27/SUM(накопительные!R$2:R$34))^$B$39</f>
        <v>6.1166619969883308E-6</v>
      </c>
      <c r="S27">
        <f>(накопительные!S27/SUM(накопительные!S$2:S$34))^$B$39</f>
        <v>6.1057862799225476E-6</v>
      </c>
      <c r="T27">
        <f>(накопительные!T27/SUM(накопительные!T$2:T$34))^$B$39</f>
        <v>7.2235032517899154E-6</v>
      </c>
    </row>
    <row r="28" spans="1:20" x14ac:dyDescent="0.25">
      <c r="A28" t="s">
        <v>46</v>
      </c>
      <c r="B28">
        <f>(накопительные!B28/SUM(накопительные!B$2:B$34))^$B$39</f>
        <v>0</v>
      </c>
      <c r="C28">
        <f>(накопительные!C28/SUM(накопительные!C$2:C$34))^$B$39</f>
        <v>0</v>
      </c>
      <c r="D28">
        <f>(накопительные!D28/SUM(накопительные!D$2:D$34))^$B$39</f>
        <v>0</v>
      </c>
      <c r="E28">
        <f>(накопительные!E28/SUM(накопительные!E$2:E$34))^$B$39</f>
        <v>0</v>
      </c>
      <c r="F28">
        <f>(накопительные!F28/SUM(накопительные!F$2:F$34))^$B$39</f>
        <v>0</v>
      </c>
      <c r="G28">
        <f>(накопительные!G28/SUM(накопительные!G$2:G$34))^$B$39</f>
        <v>1.8083957079166985E-11</v>
      </c>
      <c r="H28">
        <f>(накопительные!H28/SUM(накопительные!H$2:H$34))^$B$39</f>
        <v>3.3313666043603989E-10</v>
      </c>
      <c r="I28">
        <f>(накопительные!I28/SUM(накопительные!I$2:I$34))^$B$39</f>
        <v>2.6022404841691854E-10</v>
      </c>
      <c r="J28">
        <f>(накопительные!J28/SUM(накопительные!J$2:J$34))^$B$39</f>
        <v>1.7769183350703292E-10</v>
      </c>
      <c r="K28">
        <f>(накопительные!K28/SUM(накопительные!K$2:K$34))^$B$39</f>
        <v>1.0624009450409603E-10</v>
      </c>
      <c r="L28">
        <f>(накопительные!L28/SUM(накопительные!L$2:L$34))^$B$39</f>
        <v>7.5879340437186868E-11</v>
      </c>
      <c r="M28">
        <f>(накопительные!M28/SUM(накопительные!M$2:M$34))^$B$39</f>
        <v>5.4344465132244352E-11</v>
      </c>
      <c r="N28">
        <f>(накопительные!N28/SUM(накопительные!N$2:N$34))^$B$39</f>
        <v>4.4462148469628762E-11</v>
      </c>
      <c r="O28">
        <f>(накопительные!O28/SUM(накопительные!O$2:O$34))^$B$39</f>
        <v>3.1753465321670879E-11</v>
      </c>
      <c r="P28">
        <f>(накопительные!P28/SUM(накопительные!P$2:P$34))^$B$39</f>
        <v>2.5280265243498869E-11</v>
      </c>
      <c r="Q28">
        <f>(накопительные!Q28/SUM(накопительные!Q$2:Q$34))^$B$39</f>
        <v>2.0034210741898289E-11</v>
      </c>
      <c r="R28">
        <f>(накопительные!R28/SUM(накопительные!R$2:R$34))^$B$39</f>
        <v>1.4498754363231602E-11</v>
      </c>
      <c r="S28">
        <f>(накопительные!S28/SUM(накопительные!S$2:S$34))^$B$39</f>
        <v>1.3032796071280948E-11</v>
      </c>
      <c r="T28">
        <f>(накопительные!T28/SUM(накопительные!T$2:T$34))^$B$39</f>
        <v>1.1762268677858602E-11</v>
      </c>
    </row>
    <row r="29" spans="1:20" x14ac:dyDescent="0.25">
      <c r="A29" t="s">
        <v>47</v>
      </c>
      <c r="B29">
        <f>(накопительные!B29/SUM(накопительные!B$2:B$34))^$B$39</f>
        <v>0</v>
      </c>
      <c r="C29">
        <f>(накопительные!C29/SUM(накопительные!C$2:C$34))^$B$39</f>
        <v>0</v>
      </c>
      <c r="D29">
        <f>(накопительные!D29/SUM(накопительные!D$2:D$34))^$B$39</f>
        <v>0</v>
      </c>
      <c r="E29">
        <f>(накопительные!E29/SUM(накопительные!E$2:E$34))^$B$39</f>
        <v>0</v>
      </c>
      <c r="F29">
        <f>(накопительные!F29/SUM(накопительные!F$2:F$34))^$B$39</f>
        <v>1.9407265587850091E-12</v>
      </c>
      <c r="G29">
        <f>(накопительные!G29/SUM(накопительные!G$2:G$34))^$B$39</f>
        <v>4.9622378225234206E-11</v>
      </c>
      <c r="H29">
        <f>(накопительные!H29/SUM(накопительные!H$2:H$34))^$B$39</f>
        <v>3.3856555416166413E-11</v>
      </c>
      <c r="I29">
        <f>(накопительные!I29/SUM(накопительные!I$2:I$34))^$B$39</f>
        <v>8.0051085566784365E-9</v>
      </c>
      <c r="J29">
        <f>(накопительные!J29/SUM(накопительные!J$2:J$34))^$B$39</f>
        <v>5.4662219941335329E-9</v>
      </c>
      <c r="K29">
        <f>(накопительные!K29/SUM(накопительные!K$2:K$34))^$B$39</f>
        <v>3.2681971353181499E-9</v>
      </c>
      <c r="L29">
        <f>(накопительные!L29/SUM(накопительные!L$2:L$34))^$B$39</f>
        <v>2.3342283739881633E-9</v>
      </c>
      <c r="M29">
        <f>(накопительные!M29/SUM(накопительные!M$2:M$34))^$B$39</f>
        <v>1.6717645639777791E-9</v>
      </c>
      <c r="N29">
        <f>(накопительные!N29/SUM(накопительные!N$2:N$34))^$B$39</f>
        <v>1.3677610786851159E-9</v>
      </c>
      <c r="O29">
        <f>(накопительные!O29/SUM(накопительные!O$2:O$34))^$B$39</f>
        <v>9.7681186076795125E-10</v>
      </c>
      <c r="P29">
        <f>(накопительные!P29/SUM(накопительные!P$2:P$34))^$B$39</f>
        <v>7.7768088248171321E-10</v>
      </c>
      <c r="Q29">
        <f>(накопительные!Q29/SUM(накопительные!Q$2:Q$34))^$B$39</f>
        <v>6.1629981092032737E-10</v>
      </c>
      <c r="R29">
        <f>(накопительные!R29/SUM(накопительные!R$2:R$34))^$B$39</f>
        <v>4.4601605163075381E-10</v>
      </c>
      <c r="S29">
        <f>(накопительные!S29/SUM(накопительные!S$2:S$34))^$B$39</f>
        <v>4.0091969970625235E-10</v>
      </c>
      <c r="T29">
        <f>(накопительные!T29/SUM(накопительные!T$2:T$34))^$B$39</f>
        <v>3.618352654640928E-10</v>
      </c>
    </row>
    <row r="30" spans="1:20" x14ac:dyDescent="0.25">
      <c r="A30" t="s">
        <v>48</v>
      </c>
      <c r="B30">
        <f>(накопительные!B30/SUM(накопительные!B$2:B$34))^$B$39</f>
        <v>0</v>
      </c>
      <c r="C30">
        <f>(накопительные!C30/SUM(накопительные!C$2:C$34))^$B$39</f>
        <v>7.4301783773433175E-8</v>
      </c>
      <c r="D30">
        <f>(накопительные!D30/SUM(накопительные!D$2:D$34))^$B$39</f>
        <v>3.1136159043526677E-8</v>
      </c>
      <c r="E30">
        <f>(накопительные!E30/SUM(накопительные!E$2:E$34))^$B$39</f>
        <v>4.8178854309606681E-7</v>
      </c>
      <c r="F30">
        <f>(накопительные!F30/SUM(накопительные!F$2:F$34))^$B$39</f>
        <v>2.4259081984812611E-7</v>
      </c>
      <c r="G30">
        <f>(накопительные!G30/SUM(накопительные!G$2:G$34))^$B$39</f>
        <v>1.4467165663333584E-7</v>
      </c>
      <c r="H30">
        <f>(накопительные!H30/SUM(накопительные!H$2:H$34))^$B$39</f>
        <v>9.8707158647715443E-8</v>
      </c>
      <c r="I30">
        <f>(накопительные!I30/SUM(накопительные!I$2:I$34))^$B$39</f>
        <v>7.7103421753160988E-8</v>
      </c>
      <c r="J30">
        <f>(накопительные!J30/SUM(накопительные!J$2:J$34))^$B$39</f>
        <v>5.2649432150231956E-8</v>
      </c>
      <c r="K30">
        <f>(накопительные!K30/SUM(накопительные!K$2:K$34))^$B$39</f>
        <v>3.1478546519732138E-8</v>
      </c>
      <c r="L30">
        <f>(накопительные!L30/SUM(накопительные!L$2:L$34))^$B$39</f>
        <v>2.2482767536944252E-8</v>
      </c>
      <c r="M30">
        <f>(накопительные!M30/SUM(накопительные!M$2:M$34))^$B$39</f>
        <v>1.6102063742887203E-8</v>
      </c>
      <c r="N30">
        <f>(накопительные!N30/SUM(накопительные!N$2:N$34))^$B$39</f>
        <v>1.3173969916927035E-8</v>
      </c>
      <c r="O30">
        <f>(накопительные!O30/SUM(накопительные!O$2:O$34))^$B$39</f>
        <v>9.4084341693839611E-9</v>
      </c>
      <c r="P30">
        <f>(накопительные!P30/SUM(накопительные!P$2:P$34))^$B$39</f>
        <v>7.4904489610366983E-9</v>
      </c>
      <c r="Q30">
        <f>(накопительные!Q30/SUM(накопительные!Q$2:Q$34))^$B$39</f>
        <v>5.9360624420439331E-9</v>
      </c>
      <c r="R30">
        <f>(накопительные!R30/SUM(накопительные!R$2:R$34))^$B$39</f>
        <v>4.2959272187352877E-9</v>
      </c>
      <c r="S30">
        <f>(накопительные!S30/SUM(накопительные!S$2:S$34))^$B$39</f>
        <v>3.8615692063054656E-9</v>
      </c>
      <c r="T30">
        <f>(накопительные!T30/SUM(накопительные!T$2:T$34))^$B$39</f>
        <v>3.4851166452914359E-9</v>
      </c>
    </row>
    <row r="31" spans="1:20" x14ac:dyDescent="0.25">
      <c r="A31" t="s">
        <v>49</v>
      </c>
      <c r="B31">
        <f>(накопительные!B31/SUM(накопительные!B$2:B$34))^$B$39</f>
        <v>0</v>
      </c>
      <c r="C31">
        <f>(накопительные!C31/SUM(накопительные!C$2:C$34))^$B$39</f>
        <v>0</v>
      </c>
      <c r="D31">
        <f>(накопительные!D31/SUM(накопительные!D$2:D$34))^$B$39</f>
        <v>0</v>
      </c>
      <c r="E31">
        <f>(накопительные!E31/SUM(накопительные!E$2:E$34))^$B$39</f>
        <v>0</v>
      </c>
      <c r="F31">
        <f>(накопительные!F31/SUM(накопительные!F$2:F$34))^$B$39</f>
        <v>1.9407265587850087E-9</v>
      </c>
      <c r="G31">
        <f>(накопительные!G31/SUM(накопительные!G$2:G$34))^$B$39</f>
        <v>4.9622378225234194E-8</v>
      </c>
      <c r="H31">
        <f>(накопительные!H31/SUM(накопительные!H$2:H$34))^$B$39</f>
        <v>5.0538065227630294E-8</v>
      </c>
      <c r="I31">
        <f>(накопительные!I31/SUM(накопительные!I$2:I$34))^$B$39</f>
        <v>3.9476951937618427E-8</v>
      </c>
      <c r="J31">
        <f>(накопительные!J31/SUM(накопительные!J$2:J$34))^$B$39</f>
        <v>2.6956509260918755E-8</v>
      </c>
      <c r="K31">
        <f>(накопительные!K31/SUM(накопительные!K$2:K$34))^$B$39</f>
        <v>1.6117015818102851E-8</v>
      </c>
      <c r="L31">
        <f>(накопительные!L31/SUM(накопительные!L$2:L$34))^$B$39</f>
        <v>1.1511176978915454E-8</v>
      </c>
      <c r="M31">
        <f>(накопительные!M31/SUM(накопительные!M$2:M$34))^$B$39</f>
        <v>8.2442566363582473E-9</v>
      </c>
      <c r="N31">
        <f>(накопительные!N31/SUM(накопительные!N$2:N$34))^$B$39</f>
        <v>6.7450725974666396E-9</v>
      </c>
      <c r="O31">
        <f>(накопительные!O31/SUM(накопительные!O$2:O$34))^$B$39</f>
        <v>4.8171182947245877E-9</v>
      </c>
      <c r="P31">
        <f>(накопительные!P31/SUM(накопительные!P$2:P$34))^$B$39</f>
        <v>3.8351098680507886E-9</v>
      </c>
      <c r="Q31">
        <f>(накопительные!Q31/SUM(накопительные!Q$2:Q$34))^$B$39</f>
        <v>3.0392639703264934E-9</v>
      </c>
      <c r="R31">
        <f>(накопительные!R31/SUM(накопительные!R$2:R$34))^$B$39</f>
        <v>2.1995147359924667E-9</v>
      </c>
      <c r="S31">
        <f>(накопительные!S31/SUM(накопительные!S$2:S$34))^$B$39</f>
        <v>1.9771234336283972E-9</v>
      </c>
      <c r="T31">
        <f>(накопительные!T31/SUM(накопительные!T$2:T$34))^$B$39</f>
        <v>1.7843797223892146E-9</v>
      </c>
    </row>
    <row r="32" spans="1:20" x14ac:dyDescent="0.25">
      <c r="A32" t="s">
        <v>50</v>
      </c>
      <c r="B32">
        <f>(накопительные!B32/SUM(накопительные!B$2:B$34))^$B$39</f>
        <v>0</v>
      </c>
      <c r="C32">
        <f>(накопительные!C32/SUM(накопительные!C$2:C$34))^$B$39</f>
        <v>0</v>
      </c>
      <c r="D32">
        <f>(накопительные!D32/SUM(накопительные!D$2:D$34))^$B$39</f>
        <v>0</v>
      </c>
      <c r="E32">
        <f>(накопительные!E32/SUM(накопительные!E$2:E$34))^$B$39</f>
        <v>0</v>
      </c>
      <c r="F32">
        <f>(накопительные!F32/SUM(накопительные!F$2:F$34))^$B$39</f>
        <v>0</v>
      </c>
      <c r="G32">
        <f>(накопительные!G32/SUM(накопительные!G$2:G$34))^$B$39</f>
        <v>0</v>
      </c>
      <c r="H32">
        <f>(накопительные!H32/SUM(накопительные!H$2:H$34))^$B$39</f>
        <v>0</v>
      </c>
      <c r="I32">
        <f>(накопительные!I32/SUM(накопительные!I$2:I$34))^$B$39</f>
        <v>0</v>
      </c>
      <c r="J32">
        <f>(накопительные!J32/SUM(накопительные!J$2:J$34))^$B$39</f>
        <v>0</v>
      </c>
      <c r="K32">
        <f>(накопительные!K32/SUM(накопительные!K$2:K$34))^$B$39</f>
        <v>0</v>
      </c>
      <c r="L32">
        <f>(накопительные!L32/SUM(накопительные!L$2:L$34))^$B$39</f>
        <v>0</v>
      </c>
      <c r="M32">
        <f>(накопительные!M32/SUM(накопительные!M$2:M$34))^$B$39</f>
        <v>0</v>
      </c>
      <c r="N32">
        <f>(накопительные!N32/SUM(накопительные!N$2:N$34))^$B$39</f>
        <v>0</v>
      </c>
      <c r="O32">
        <f>(накопительные!O32/SUM(накопительные!O$2:O$34))^$B$39</f>
        <v>0</v>
      </c>
      <c r="P32">
        <f>(накопительные!P32/SUM(накопительные!P$2:P$34))^$B$39</f>
        <v>5.9923591688293598E-11</v>
      </c>
      <c r="Q32">
        <f>(накопительные!Q32/SUM(накопительные!Q$2:Q$34))^$B$39</f>
        <v>4.7488499536351478E-11</v>
      </c>
      <c r="R32">
        <f>(накопительные!R32/SUM(накопительные!R$2:R$34))^$B$39</f>
        <v>3.4367417749882311E-11</v>
      </c>
      <c r="S32">
        <f>(накопительные!S32/SUM(накопительные!S$2:S$34))^$B$39</f>
        <v>3.0892553650443726E-11</v>
      </c>
      <c r="T32">
        <f>(накопительные!T32/SUM(накопительные!T$2:T$34))^$B$39</f>
        <v>2.7880933162331498E-11</v>
      </c>
    </row>
    <row r="33" spans="1:20" x14ac:dyDescent="0.25">
      <c r="A33" t="s">
        <v>51</v>
      </c>
      <c r="B33">
        <f>(накопительные!B33/SUM(накопительные!B$2:B$34))^$B$39</f>
        <v>0</v>
      </c>
      <c r="C33">
        <f>(накопительные!C33/SUM(накопительные!C$2:C$34))^$B$39</f>
        <v>0</v>
      </c>
      <c r="D33">
        <f>(накопительные!D33/SUM(накопительные!D$2:D$34))^$B$39</f>
        <v>0</v>
      </c>
      <c r="E33">
        <f>(накопительные!E33/SUM(накопительные!E$2:E$34))^$B$39</f>
        <v>0</v>
      </c>
      <c r="F33">
        <f>(накопительные!F33/SUM(накопительные!F$2:F$34))^$B$39</f>
        <v>0</v>
      </c>
      <c r="G33">
        <f>(накопительные!G33/SUM(накопительные!G$2:G$34))^$B$39</f>
        <v>0</v>
      </c>
      <c r="H33">
        <f>(накопительные!H33/SUM(накопительные!H$2:H$34))^$B$39</f>
        <v>0</v>
      </c>
      <c r="I33">
        <f>(накопительные!I33/SUM(накопительные!I$2:I$34))^$B$39</f>
        <v>0</v>
      </c>
      <c r="J33">
        <f>(накопительные!J33/SUM(накопительные!J$2:J$34))^$B$39</f>
        <v>0</v>
      </c>
      <c r="K33">
        <f>(накопительные!K33/SUM(накопительные!K$2:K$34))^$B$39</f>
        <v>0</v>
      </c>
      <c r="L33">
        <f>(накопительные!L33/SUM(накопительные!L$2:L$34))^$B$39</f>
        <v>0</v>
      </c>
      <c r="M33">
        <f>(накопительные!M33/SUM(накопительные!M$2:M$34))^$B$39</f>
        <v>0</v>
      </c>
      <c r="N33">
        <f>(накопительные!N33/SUM(накопительные!N$2:N$34))^$B$39</f>
        <v>0</v>
      </c>
      <c r="O33">
        <f>(накопительные!O33/SUM(накопительные!O$2:O$34))^$B$39</f>
        <v>0</v>
      </c>
      <c r="P33">
        <f>(накопительные!P33/SUM(накопительные!P$2:P$34))^$B$39</f>
        <v>1.6179369755839268E-9</v>
      </c>
      <c r="Q33">
        <f>(накопительные!Q33/SUM(накопительные!Q$2:Q$34))^$B$39</f>
        <v>1.2821894874814897E-9</v>
      </c>
      <c r="R33">
        <f>(накопительные!R33/SUM(накопительные!R$2:R$34))^$B$39</f>
        <v>9.2792027924682222E-10</v>
      </c>
      <c r="S33">
        <f>(накопительные!S33/SUM(накопительные!S$2:S$34))^$B$39</f>
        <v>8.3409894856198044E-10</v>
      </c>
      <c r="T33">
        <f>(накопительные!T33/SUM(накопительные!T$2:T$34))^$B$39</f>
        <v>7.5278519538295003E-10</v>
      </c>
    </row>
    <row r="34" spans="1:20" x14ac:dyDescent="0.25">
      <c r="A34" t="s">
        <v>52</v>
      </c>
      <c r="B34">
        <f>(накопительные!B34/SUM(накопительные!B$2:B$34))^$B$39</f>
        <v>0</v>
      </c>
      <c r="C34">
        <f>(накопительные!C34/SUM(накопительные!C$2:C$34))^$B$39</f>
        <v>0</v>
      </c>
      <c r="D34">
        <f>(накопительные!D34/SUM(накопительные!D$2:D$34))^$B$39</f>
        <v>0</v>
      </c>
      <c r="E34">
        <f>(накопительные!E34/SUM(накопительные!E$2:E$34))^$B$39</f>
        <v>0</v>
      </c>
      <c r="F34">
        <f>(накопительные!F34/SUM(накопительные!F$2:F$34))^$B$39</f>
        <v>0</v>
      </c>
      <c r="G34">
        <f>(накопительные!G34/SUM(накопительные!G$2:G$34))^$B$39</f>
        <v>0</v>
      </c>
      <c r="H34">
        <f>(накопительные!H34/SUM(накопительные!H$2:H$34))^$B$39</f>
        <v>0</v>
      </c>
      <c r="I34">
        <f>(накопительные!I34/SUM(накопительные!I$2:I$34))^$B$39</f>
        <v>0</v>
      </c>
      <c r="J34">
        <f>(накопительные!J34/SUM(накопительные!J$2:J$34))^$B$39</f>
        <v>0</v>
      </c>
      <c r="K34">
        <f>(накопительные!K34/SUM(накопительные!K$2:K$34))^$B$39</f>
        <v>0</v>
      </c>
      <c r="L34">
        <f>(накопительные!L34/SUM(накопительные!L$2:L$34))^$B$39</f>
        <v>0</v>
      </c>
      <c r="M34">
        <f>(накопительные!M34/SUM(накопительные!M$2:M$34))^$B$39</f>
        <v>0</v>
      </c>
      <c r="N34">
        <f>(накопительные!N34/SUM(накопительные!N$2:N$34))^$B$39</f>
        <v>0</v>
      </c>
      <c r="O34">
        <f>(накопительные!O34/SUM(накопительные!O$2:O$34))^$B$39</f>
        <v>0</v>
      </c>
      <c r="P34">
        <f>(накопительные!P34/SUM(накопительные!P$2:P$34))^$B$39</f>
        <v>0</v>
      </c>
      <c r="Q34">
        <f>(накопительные!Q34/SUM(накопительные!Q$2:Q$34))^$B$39</f>
        <v>0</v>
      </c>
      <c r="R34">
        <f>(накопительные!R34/SUM(накопительные!R$2:R$34))^$B$39</f>
        <v>0</v>
      </c>
      <c r="S34">
        <f>(накопительные!S34/SUM(накопительные!S$2:S$34))^$B$39</f>
        <v>1.7276226202474937E-7</v>
      </c>
      <c r="T34">
        <f>(накопительные!T34/SUM(накопительные!T$2:T$34))^$B$39</f>
        <v>1.559201979541129E-7</v>
      </c>
    </row>
    <row r="36" spans="1:20" x14ac:dyDescent="0.25">
      <c r="A36" s="1" t="s">
        <v>53</v>
      </c>
      <c r="B36">
        <f>SUM(B2:B34)</f>
        <v>9.3756024831327819E-2</v>
      </c>
      <c r="C36">
        <f t="shared" ref="C36:T36" si="0">SUM(C2:C34)</f>
        <v>0.25423388991837181</v>
      </c>
      <c r="D36">
        <f t="shared" si="0"/>
        <v>0.15188999703443101</v>
      </c>
      <c r="E36">
        <f t="shared" si="0"/>
        <v>0.16975003025226582</v>
      </c>
      <c r="F36">
        <f t="shared" si="0"/>
        <v>0.11109661999776037</v>
      </c>
      <c r="G36">
        <f t="shared" si="0"/>
        <v>8.3488096533248457E-2</v>
      </c>
      <c r="H36">
        <f t="shared" si="0"/>
        <v>0.1020596839699506</v>
      </c>
      <c r="I36">
        <f t="shared" si="0"/>
        <v>9.0886710465338194E-2</v>
      </c>
      <c r="J36">
        <f t="shared" si="0"/>
        <v>7.3485977515496431E-2</v>
      </c>
      <c r="K36">
        <f t="shared" si="0"/>
        <v>7.7390756273515965E-2</v>
      </c>
      <c r="L36">
        <f t="shared" si="0"/>
        <v>8.2783697116491181E-2</v>
      </c>
      <c r="M36">
        <f t="shared" si="0"/>
        <v>9.0473195889135993E-2</v>
      </c>
      <c r="N36">
        <f t="shared" si="0"/>
        <v>8.2728966376505106E-2</v>
      </c>
      <c r="O36">
        <f t="shared" si="0"/>
        <v>7.9552550231605623E-2</v>
      </c>
      <c r="P36">
        <f t="shared" si="0"/>
        <v>6.9758246225261236E-2</v>
      </c>
      <c r="Q36">
        <f t="shared" si="0"/>
        <v>6.3402325230358464E-2</v>
      </c>
      <c r="R36">
        <f t="shared" si="0"/>
        <v>5.9911724117950704E-2</v>
      </c>
      <c r="S36">
        <f t="shared" si="0"/>
        <v>5.865832533612985E-2</v>
      </c>
      <c r="T36">
        <f t="shared" si="0"/>
        <v>5.7857029856463293E-2</v>
      </c>
    </row>
    <row r="37" spans="1:20" x14ac:dyDescent="0.25">
      <c r="A37" s="1" t="s">
        <v>55</v>
      </c>
      <c r="B37">
        <f>LN(B36)/LN(SUM(накопительные!B2:B34))</f>
        <v>-0.82276730218462613</v>
      </c>
      <c r="C37">
        <f>LN(C36)/LN(SUM(накопительные!C2:C34))</f>
        <v>-0.32089616874923999</v>
      </c>
      <c r="D37">
        <f>LN(D36)/LN(SUM(накопительные!D2:D34))</f>
        <v>-0.4135014576089982</v>
      </c>
      <c r="E37">
        <f>LN(E36)/LN(SUM(накопительные!E2:E34))</f>
        <v>-0.36576189971743389</v>
      </c>
      <c r="F37">
        <f>LN(F36)/LN(SUM(накопительные!F2:F34))</f>
        <v>-0.43278051215423402</v>
      </c>
      <c r="G37">
        <f>LN(G36)/LN(SUM(накопительные!G2:G34))</f>
        <v>-0.47299820096634687</v>
      </c>
      <c r="H37">
        <f>LN(H36)/LN(SUM(накопительные!H2:H34))</f>
        <v>-0.42443410243056012</v>
      </c>
      <c r="I37">
        <f>LN(I36)/LN(SUM(накопительные!I2:I34))</f>
        <v>-0.43927051852775634</v>
      </c>
      <c r="J37">
        <f>LN(J36)/LN(SUM(накопительные!J2:J34))</f>
        <v>-0.4673128933100158</v>
      </c>
      <c r="K37">
        <f>LN(K36)/LN(SUM(накопительные!K2:K34))</f>
        <v>-0.44440672460212999</v>
      </c>
      <c r="L37">
        <f>LN(L36)/LN(SUM(накопительные!L2:L34))</f>
        <v>-0.42443799457293357</v>
      </c>
      <c r="M37">
        <f>LN(M36)/LN(SUM(накопительные!M2:M34))</f>
        <v>-0.40169288092669408</v>
      </c>
      <c r="N37">
        <f>LN(N36)/LN(SUM(накопительные!N2:N34))</f>
        <v>-0.41204447457183913</v>
      </c>
      <c r="O37">
        <f>LN(O36)/LN(SUM(накопительные!O2:O34))</f>
        <v>-0.41089451315296283</v>
      </c>
      <c r="P37">
        <f>LN(P36)/LN(SUM(накопительные!P2:P34))</f>
        <v>-0.42695424164735035</v>
      </c>
      <c r="Q37">
        <f>LN(Q36)/LN(SUM(накопительные!Q2:Q34))</f>
        <v>-0.43684237170303908</v>
      </c>
      <c r="R37">
        <f>LN(R36)/LN(SUM(накопительные!R2:R34))</f>
        <v>-0.43832789460971933</v>
      </c>
      <c r="S37">
        <f>LN(S36)/LN(SUM(накопительные!S2:S34))</f>
        <v>-0.43919021673040864</v>
      </c>
      <c r="T37">
        <f>LN(T36)/LN(SUM(накопительные!T2:T34))</f>
        <v>-0.43899586153974157</v>
      </c>
    </row>
    <row r="39" spans="1:20" x14ac:dyDescent="0.25">
      <c r="A39" s="2" t="s">
        <v>56</v>
      </c>
      <c r="B39" s="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17D9-746D-4450-9D5C-4EE4F33C4D64}">
  <dimension ref="A1:T39"/>
  <sheetViews>
    <sheetView workbookViewId="0">
      <selection activeCell="I26" sqref="I26"/>
    </sheetView>
  </sheetViews>
  <sheetFormatPr defaultRowHeight="15" x14ac:dyDescent="0.25"/>
  <cols>
    <col min="1" max="1" width="25.5703125" bestFit="1" customWidth="1"/>
    <col min="2" max="2" width="12.7109375" bestFit="1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20</v>
      </c>
      <c r="B2">
        <f>IF(накопительные!B2 = 0, 0,(накопительные!B2/SUM(накопительные!B$2:B$34))^$B$39)</f>
        <v>4.0363636363636362</v>
      </c>
      <c r="C2">
        <f>IF(накопительные!C2 = 0, 0,(накопительные!C2/SUM(накопительные!C$2:C$34))^$B$39)</f>
        <v>13.992156862745096</v>
      </c>
      <c r="D2">
        <f>IF(накопительные!D2 = 0, 0,(накопительные!D2/SUM(накопительные!D$2:D$34))^$B$39)</f>
        <v>13.921167883211675</v>
      </c>
      <c r="E2">
        <f>IF(накопительные!E2 = 0, 0,(накопительные!E2/SUM(накопительные!E$2:E$34))^$B$39)</f>
        <v>18.621897810218975</v>
      </c>
      <c r="F2">
        <f>IF(накопительные!F2 = 0, 0,(накопительные!F2/SUM(накопительные!F$2:F$34))^$B$39)</f>
        <v>23.407299270072993</v>
      </c>
      <c r="G2">
        <f>IF(накопительные!G2 = 0, 0,(накопительные!G2/SUM(накопительные!G$2:G$34))^$B$39)</f>
        <v>27.808759124087594</v>
      </c>
      <c r="H2">
        <f>IF(накопительные!H2 = 0, 0,(накопительные!H2/SUM(накопительные!H$2:H$34))^$B$39)</f>
        <v>31.588321167883219</v>
      </c>
      <c r="I2">
        <f>IF(накопительные!I2 = 0, 0,(накопительные!I2/SUM(накопительные!I$2:I$34))^$B$39)</f>
        <v>34.299270072992705</v>
      </c>
      <c r="J2">
        <f>IF(накопительные!J2 = 0, 0,(накопительные!J2/SUM(накопительные!J$2:J$34))^$B$39)</f>
        <v>38.950364963503645</v>
      </c>
      <c r="K2">
        <f>IF(накопительные!K2 = 0, 0,(накопительные!K2/SUM(накопительные!K$2:K$34))^$B$39)</f>
        <v>46.235036496350375</v>
      </c>
      <c r="L2">
        <f>IF(накопительные!L2 = 0, 0,(накопительные!L2/SUM(накопительные!L$2:L$34))^$B$39)</f>
        <v>51.724087591240881</v>
      </c>
      <c r="M2">
        <f>IF(накопительные!M2 = 0, 0,(накопительные!M2/SUM(накопительные!M$2:M$34))^$B$39)</f>
        <v>57.811678832116783</v>
      </c>
      <c r="N2">
        <f>IF(накопительные!N2 = 0, 0,(накопительные!N2/SUM(накопительные!N$2:N$34))^$B$39)</f>
        <v>61.811678832116769</v>
      </c>
      <c r="O2">
        <f>IF(накопительные!O2 = 0, 0,(накопительные!O2/SUM(накопительные!O$2:O$34))^$B$39)</f>
        <v>69.151824817518232</v>
      </c>
      <c r="P2">
        <f>IF(накопительные!P2 = 0, 0,(накопительные!P2/SUM(накопительные!P$2:P$34))^$B$39)</f>
        <v>74.611678832116795</v>
      </c>
      <c r="Q2">
        <f>IF(накопительные!Q2 = 0, 0,(накопительные!Q2/SUM(накопительные!Q$2:Q$34))^$B$39)</f>
        <v>80.626277372262791</v>
      </c>
      <c r="R2">
        <f>IF(накопительные!R2 = 0, 0,(накопительные!R2/SUM(накопительные!R$2:R$34))^$B$39)</f>
        <v>87.255319148936152</v>
      </c>
      <c r="S2">
        <f>IF(накопительные!S2 = 0, 0,(накопительные!S2/SUM(накопительные!S$2:S$34))^$B$39)</f>
        <v>90.411347517730462</v>
      </c>
      <c r="T2">
        <f>IF(накопительные!T2 = 0, 0,(накопительные!T2/SUM(накопительные!T$2:T$34))^$B$39)</f>
        <v>81.934161490683195</v>
      </c>
    </row>
    <row r="3" spans="1:20" x14ac:dyDescent="0.25">
      <c r="A3" t="s">
        <v>21</v>
      </c>
      <c r="B3">
        <f>IF(накопительные!B3 = 0, 0,(накопительные!B3/SUM(накопительные!B$2:B$34))^$B$39)</f>
        <v>2.3680000000000003</v>
      </c>
      <c r="C3">
        <f>IF(накопительные!C3 = 0, 0,(накопительные!C3/SUM(накопительные!C$2:C$34))^$B$39)</f>
        <v>1.585777777777778</v>
      </c>
      <c r="D3">
        <f>IF(накопительные!D3 = 0, 0,(накопительные!D3/SUM(накопительные!D$2:D$34))^$B$39)</f>
        <v>1.8996015936254975</v>
      </c>
      <c r="E3">
        <f>IF(накопительные!E3 = 0, 0,(накопительные!E3/SUM(накопительные!E$2:E$34))^$B$39)</f>
        <v>1.8353956834532372</v>
      </c>
      <c r="F3">
        <f>IF(накопительные!F3 = 0, 0,(накопительные!F3/SUM(накопительные!F$2:F$34))^$B$39)</f>
        <v>2.1180977542932631</v>
      </c>
      <c r="G3">
        <f>IF(накопительные!G3 = 0, 0,(накопительные!G3/SUM(накопительные!G$2:G$34))^$B$39)</f>
        <v>2.3373006134969332</v>
      </c>
      <c r="H3">
        <f>IF(накопительные!H3 = 0, 0,(накопительные!H3/SUM(накопительные!H$2:H$34))^$B$39)</f>
        <v>2.1703109327983956</v>
      </c>
      <c r="I3">
        <f>IF(накопительные!I3 = 0, 0,(накопительные!I3/SUM(накопительные!I$2:I$34))^$B$39)</f>
        <v>2.2569644572526419</v>
      </c>
      <c r="J3">
        <f>IF(накопительные!J3 = 0, 0,(накопительные!J3/SUM(накопительные!J$2:J$34))^$B$39)</f>
        <v>2.4433150183150185</v>
      </c>
      <c r="K3">
        <f>IF(накопительные!K3 = 0, 0,(накопительные!K3/SUM(накопительные!K$2:K$34))^$B$39)</f>
        <v>2.3848644578313256</v>
      </c>
      <c r="L3">
        <f>IF(накопительные!L3 = 0, 0,(накопительные!L3/SUM(накопительные!L$2:L$34))^$B$39)</f>
        <v>2.3263952724885097</v>
      </c>
      <c r="M3">
        <f>IF(накопительные!M3 = 0, 0,(накопительные!M3/SUM(накопительные!M$2:M$34))^$B$39)</f>
        <v>2.2564672364672362</v>
      </c>
      <c r="N3">
        <f>IF(накопительные!N3 = 0, 0,(накопительные!N3/SUM(накопительные!N$2:N$34))^$B$39)</f>
        <v>2.3315528634361229</v>
      </c>
      <c r="O3">
        <f>IF(накопительные!O3 = 0, 0,(накопительные!O3/SUM(накопительные!O$2:O$34))^$B$39)</f>
        <v>2.3851460221550855</v>
      </c>
      <c r="P3">
        <f>IF(накопительные!P3 = 0, 0,(накопительные!P3/SUM(накопительные!P$2:P$34))^$B$39)</f>
        <v>2.5090328915071187</v>
      </c>
      <c r="Q3">
        <f>IF(накопительные!Q3 = 0, 0,(накопительные!Q3/SUM(накопительные!Q$2:Q$34))^$B$39)</f>
        <v>2.6262006657156456</v>
      </c>
      <c r="R3">
        <f>IF(накопительные!R3 = 0, 0,(накопительные!R3/SUM(накопительные!R$2:R$34))^$B$39)</f>
        <v>2.7572837292693859</v>
      </c>
      <c r="S3">
        <f>IF(накопительные!S3 = 0, 0,(накопительные!S3/SUM(накопительные!S$2:S$34))^$B$39)</f>
        <v>2.7992973210364509</v>
      </c>
      <c r="T3">
        <f>IF(накопительные!T3 = 0, 0,(накопительные!T3/SUM(накопительные!T$2:T$34))^$B$39)</f>
        <v>2.8222935387248604</v>
      </c>
    </row>
    <row r="4" spans="1:20" x14ac:dyDescent="0.25">
      <c r="A4" t="s">
        <v>22</v>
      </c>
      <c r="B4">
        <f>IF(накопительные!B4 = 0, 0,(накопительные!B4/SUM(накопительные!B$2:B$34))^$B$39)</f>
        <v>0</v>
      </c>
      <c r="C4">
        <f>IF(накопительные!C4 = 0, 0,(накопительные!C4/SUM(накопительные!C$2:C$34))^$B$39)</f>
        <v>0</v>
      </c>
      <c r="D4">
        <f>IF(накопительные!D4 = 0, 0,(накопительные!D4/SUM(накопительные!D$2:D$34))^$B$39)</f>
        <v>0</v>
      </c>
      <c r="E4">
        <f>IF(накопительные!E4 = 0, 0,(накопительные!E4/SUM(накопительные!E$2:E$34))^$B$39)</f>
        <v>0</v>
      </c>
      <c r="F4">
        <f>IF(накопительные!F4 = 0, 0,(накопительные!F4/SUM(накопительные!F$2:F$34))^$B$39)</f>
        <v>0</v>
      </c>
      <c r="G4">
        <f>IF(накопительные!G4 = 0, 0,(накопительные!G4/SUM(накопительные!G$2:G$34))^$B$39)</f>
        <v>3809.8000000000006</v>
      </c>
      <c r="H4">
        <f>IF(накопительные!H4 = 0, 0,(накопительные!H4/SUM(накопительные!H$2:H$34))^$B$39)</f>
        <v>3091.1428571428578</v>
      </c>
      <c r="I4">
        <f>IF(накопительные!I4 = 0, 0,(накопительные!I4/SUM(накопительные!I$2:I$34))^$B$39)</f>
        <v>2936.8750000000005</v>
      </c>
      <c r="J4">
        <f>IF(накопительные!J4 = 0, 0,(накопительные!J4/SUM(накопительные!J$2:J$34))^$B$39)</f>
        <v>3335.1249999999995</v>
      </c>
      <c r="K4">
        <f>IF(накопительные!K4 = 0, 0,(накопительные!K4/SUM(накопительные!K$2:K$34))^$B$39)</f>
        <v>3958.8750000000009</v>
      </c>
      <c r="L4">
        <f>IF(накопительные!L4 = 0, 0,(накопительные!L4/SUM(накопительные!L$2:L$34))^$B$39)</f>
        <v>1265.3928571428571</v>
      </c>
      <c r="M4">
        <f>IF(накопительные!M4 = 0, 0,(накопительные!M4/SUM(накопительные!M$2:M$34))^$B$39)</f>
        <v>1414.3214285714284</v>
      </c>
      <c r="N4">
        <f>IF(накопительные!N4 = 0, 0,(накопительные!N4/SUM(накопительные!N$2:N$34))^$B$39)</f>
        <v>1512.1785714285711</v>
      </c>
      <c r="O4">
        <f>IF(накопительные!O4 = 0, 0,(накопительные!O4/SUM(накопительные!O$2:O$34))^$B$39)</f>
        <v>1691.7499999999995</v>
      </c>
      <c r="P4">
        <f>IF(накопительные!P4 = 0, 0,(накопительные!P4/SUM(накопительные!P$2:P$34))^$B$39)</f>
        <v>1825.3214285714287</v>
      </c>
      <c r="Q4">
        <f>IF(накопительные!Q4 = 0, 0,(накопительные!Q4/SUM(накопительные!Q$2:Q$34))^$B$39)</f>
        <v>1972.464285714286</v>
      </c>
      <c r="R4">
        <f>IF(накопительные!R4 = 0, 0,(накопительные!R4/SUM(накопительные!R$2:R$34))^$B$39)</f>
        <v>2196.9642857142853</v>
      </c>
      <c r="S4">
        <f>IF(накопительные!S4 = 0, 0,(накопительные!S4/SUM(накопительные!S$2:S$34))^$B$39)</f>
        <v>2276.4285714285706</v>
      </c>
      <c r="T4">
        <f>IF(накопительные!T4 = 0, 0,(накопительные!T4/SUM(накопительные!T$2:T$34))^$B$39)</f>
        <v>2355.6071428571418</v>
      </c>
    </row>
    <row r="5" spans="1:20" x14ac:dyDescent="0.25">
      <c r="A5" t="s">
        <v>23</v>
      </c>
      <c r="B5">
        <f>IF(накопительные!B5 = 0, 0,(накопительные!B5/SUM(накопительные!B$2:B$34))^$B$39)</f>
        <v>592</v>
      </c>
      <c r="C5">
        <f>IF(накопительные!C5 = 0, 0,(накопительные!C5/SUM(накопительные!C$2:C$34))^$B$39)</f>
        <v>310.26086956521738</v>
      </c>
      <c r="D5">
        <f>IF(накопительные!D5 = 0, 0,(накопительные!D5/SUM(накопительные!D$2:D$34))^$B$39)</f>
        <v>414.60869565217382</v>
      </c>
      <c r="E5">
        <f>IF(накопительные!E5 = 0, 0,(накопительные!E5/SUM(накопительные!E$2:E$34))^$B$39)</f>
        <v>386.5454545454545</v>
      </c>
      <c r="F5">
        <f>IF(накопительные!F5 = 0, 0,(накопительные!F5/SUM(накопительные!F$2:F$34))^$B$39)</f>
        <v>83.077720207253876</v>
      </c>
      <c r="G5">
        <f>IF(накопительные!G5 = 0, 0,(накопительные!G5/SUM(накопительные!G$2:G$34))^$B$39)</f>
        <v>72.429657794676814</v>
      </c>
      <c r="H5">
        <f>IF(накопительные!H5 = 0, 0,(накопительные!H5/SUM(накопительные!H$2:H$34))^$B$39)</f>
        <v>79.260073260073284</v>
      </c>
      <c r="I5">
        <f>IF(накопительные!I5 = 0, 0,(накопительные!I5/SUM(накопительные!I$2:I$34))^$B$39)</f>
        <v>85.12681159420292</v>
      </c>
      <c r="J5">
        <f>IF(накопительные!J5 = 0, 0,(накопительные!J5/SUM(накопительные!J$2:J$34))^$B$39)</f>
        <v>62.631455399061039</v>
      </c>
      <c r="K5">
        <f>IF(накопительные!K5 = 0, 0,(накопительные!K5/SUM(накопительные!K$2:K$34))^$B$39)</f>
        <v>74.34507042253523</v>
      </c>
      <c r="L5">
        <f>IF(накопительные!L5 = 0, 0,(накопительные!L5/SUM(накопительные!L$2:L$34))^$B$39)</f>
        <v>83.171361502347438</v>
      </c>
      <c r="M5">
        <f>IF(накопительные!M5 = 0, 0,(накопительные!M5/SUM(накопительные!M$2:M$34))^$B$39)</f>
        <v>91.881670533642691</v>
      </c>
      <c r="N5">
        <f>IF(накопительные!N5 = 0, 0,(накопительные!N5/SUM(накопительные!N$2:N$34))^$B$39)</f>
        <v>93.882483370288242</v>
      </c>
      <c r="O5">
        <f>IF(накопительные!O5 = 0, 0,(накопительные!O5/SUM(накопительные!O$2:O$34))^$B$39)</f>
        <v>105.0310421286031</v>
      </c>
      <c r="P5">
        <f>IF(накопительные!P5 = 0, 0,(накопительные!P5/SUM(накопительные!P$2:P$34))^$B$39)</f>
        <v>94.471349353049916</v>
      </c>
      <c r="Q5">
        <f>IF(накопительные!Q5 = 0, 0,(накопительные!Q5/SUM(накопительные!Q$2:Q$34))^$B$39)</f>
        <v>102.08687615526806</v>
      </c>
      <c r="R5">
        <f>IF(накопительные!R5 = 0, 0,(накопительные!R5/SUM(накопительные!R$2:R$34))^$B$39)</f>
        <v>113.49630996309963</v>
      </c>
      <c r="S5">
        <f>IF(накопительные!S5 = 0, 0,(накопительные!S5/SUM(накопительные!S$2:S$34))^$B$39)</f>
        <v>111.43356643356641</v>
      </c>
      <c r="T5">
        <f>IF(накопительные!T5 = 0, 0,(накопительные!T5/SUM(накопительные!T$2:T$34))^$B$39)</f>
        <v>114.90766550522648</v>
      </c>
    </row>
    <row r="6" spans="1:20" x14ac:dyDescent="0.25">
      <c r="A6" t="s">
        <v>24</v>
      </c>
      <c r="B6">
        <f>IF(накопительные!B6 = 0, 0,(накопительные!B6/SUM(накопительные!B$2:B$34))^$B$39)</f>
        <v>0</v>
      </c>
      <c r="C6">
        <f>IF(накопительные!C6 = 0, 0,(накопительные!C6/SUM(накопительные!C$2:C$34))^$B$39)</f>
        <v>0</v>
      </c>
      <c r="D6">
        <f>IF(накопительные!D6 = 0, 0,(накопительные!D6/SUM(накопительные!D$2:D$34))^$B$39)</f>
        <v>0</v>
      </c>
      <c r="E6">
        <f>IF(накопительные!E6 = 0, 0,(накопительные!E6/SUM(накопительные!E$2:E$34))^$B$39)</f>
        <v>0</v>
      </c>
      <c r="F6">
        <f>IF(накопительные!F6 = 0, 0,(накопительные!F6/SUM(накопительные!F$2:F$34))^$B$39)</f>
        <v>16033.999999999998</v>
      </c>
      <c r="G6">
        <f>IF(накопительные!G6 = 0, 0,(накопительные!G6/SUM(накопительные!G$2:G$34))^$B$39)</f>
        <v>19049.000000000004</v>
      </c>
      <c r="H6">
        <f>IF(накопительные!H6 = 0, 0,(накопительные!H6/SUM(накопительные!H$2:H$34))^$B$39)</f>
        <v>21638.000000000004</v>
      </c>
      <c r="I6">
        <f>IF(накопительные!I6 = 0, 0,(накопительные!I6/SUM(накопительные!I$2:I$34))^$B$39)</f>
        <v>3915.8333333333339</v>
      </c>
      <c r="J6">
        <f>IF(накопительные!J6 = 0, 0,(накопительные!J6/SUM(накопительные!J$2:J$34))^$B$39)</f>
        <v>4446.833333333333</v>
      </c>
      <c r="K6">
        <f>IF(накопительные!K6 = 0, 0,(накопительные!K6/SUM(накопительные!K$2:K$34))^$B$39)</f>
        <v>5278.5000000000009</v>
      </c>
      <c r="L6">
        <f>IF(накопительные!L6 = 0, 0,(накопительные!L6/SUM(накопительные!L$2:L$34))^$B$39)</f>
        <v>5905.166666666667</v>
      </c>
      <c r="M6">
        <f>IF(накопительные!M6 = 0, 0,(накопительные!M6/SUM(накопительные!M$2:M$34))^$B$39)</f>
        <v>2475.0624999999995</v>
      </c>
      <c r="N6">
        <f>IF(накопительные!N6 = 0, 0,(накопительные!N6/SUM(накопительные!N$2:N$34))^$B$39)</f>
        <v>1628.4999999999995</v>
      </c>
      <c r="O6">
        <f>IF(накопительные!O6 = 0, 0,(накопительные!O6/SUM(накопительные!O$2:O$34))^$B$39)</f>
        <v>845.87499999999977</v>
      </c>
      <c r="P6">
        <f>IF(накопительные!P6 = 0, 0,(накопительные!P6/SUM(накопительные!P$2:P$34))^$B$39)</f>
        <v>672.48684210526324</v>
      </c>
      <c r="Q6">
        <f>IF(накопительные!Q6 = 0, 0,(накопительные!Q6/SUM(накопительные!Q$2:Q$34))^$B$39)</f>
        <v>642.19767441860483</v>
      </c>
      <c r="R6">
        <f>IF(накопительные!R6 = 0, 0,(накопительные!R6/SUM(накопительные!R$2:R$34))^$B$39)</f>
        <v>715.29069767441854</v>
      </c>
      <c r="S6">
        <f>IF(накопительные!S6 = 0, 0,(накопительные!S6/SUM(накопительные!S$2:S$34))^$B$39)</f>
        <v>505.87301587301573</v>
      </c>
      <c r="T6">
        <f>IF(накопительные!T6 = 0, 0,(накопительные!T6/SUM(накопительные!T$2:T$34))^$B$39)</f>
        <v>484.97794117647038</v>
      </c>
    </row>
    <row r="7" spans="1:20" x14ac:dyDescent="0.25">
      <c r="A7" t="s">
        <v>25</v>
      </c>
      <c r="B7">
        <f>IF(накопительные!B7 = 0, 0,(накопительные!B7/SUM(накопительные!B$2:B$34))^$B$39)</f>
        <v>0</v>
      </c>
      <c r="C7">
        <f>IF(накопительные!C7 = 0, 0,(накопительные!C7/SUM(накопительные!C$2:C$34))^$B$39)</f>
        <v>0</v>
      </c>
      <c r="D7">
        <f>IF(накопительные!D7 = 0, 0,(накопительные!D7/SUM(накопительные!D$2:D$34))^$B$39)</f>
        <v>953.5999999999998</v>
      </c>
      <c r="E7">
        <f>IF(накопительные!E7 = 0, 0,(накопительные!E7/SUM(накопительные!E$2:E$34))^$B$39)</f>
        <v>1275.5999999999999</v>
      </c>
      <c r="F7">
        <f>IF(накопительные!F7 = 0, 0,(накопительные!F7/SUM(накопительные!F$2:F$34))^$B$39)</f>
        <v>1603.4</v>
      </c>
      <c r="G7">
        <f>IF(накопительные!G7 = 0, 0,(накопительные!G7/SUM(накопительные!G$2:G$34))^$B$39)</f>
        <v>1904.9000000000003</v>
      </c>
      <c r="H7">
        <f>IF(накопительные!H7 = 0, 0,(накопительные!H7/SUM(накопительные!H$2:H$34))^$B$39)</f>
        <v>1803.1666666666667</v>
      </c>
      <c r="I7">
        <f>IF(накопительные!I7 = 0, 0,(накопительные!I7/SUM(накопительные!I$2:I$34))^$B$39)</f>
        <v>1957.916666666667</v>
      </c>
      <c r="J7">
        <f>IF(накопительные!J7 = 0, 0,(накопительные!J7/SUM(накопительные!J$2:J$34))^$B$39)</f>
        <v>2223.4166666666665</v>
      </c>
      <c r="K7">
        <f>IF(накопительные!K7 = 0, 0,(накопительные!K7/SUM(накопительные!K$2:K$34))^$B$39)</f>
        <v>2639.2500000000005</v>
      </c>
      <c r="L7">
        <f>IF(накопительные!L7 = 0, 0,(накопительные!L7/SUM(накопительные!L$2:L$34))^$B$39)</f>
        <v>2952.5833333333335</v>
      </c>
      <c r="M7">
        <f>IF(накопительные!M7 = 0, 0,(накопительные!M7/SUM(накопительные!M$2:M$34))^$B$39)</f>
        <v>3300.0833333333335</v>
      </c>
      <c r="N7">
        <f>IF(накопительные!N7 = 0, 0,(накопительные!N7/SUM(накопительные!N$2:N$34))^$B$39)</f>
        <v>3528.4166666666661</v>
      </c>
      <c r="O7">
        <f>IF(накопительные!O7 = 0, 0,(накопительные!O7/SUM(накопительные!O$2:O$34))^$B$39)</f>
        <v>3947.4166666666656</v>
      </c>
      <c r="P7">
        <f>IF(накопительные!P7 = 0, 0,(накопительные!P7/SUM(накопительные!P$2:P$34))^$B$39)</f>
        <v>211.1942148760331</v>
      </c>
      <c r="Q7">
        <f>IF(накопительные!Q7 = 0, 0,(накопительные!Q7/SUM(накопительные!Q$2:Q$34))^$B$39)</f>
        <v>96.554195804195842</v>
      </c>
      <c r="R7">
        <f>IF(накопительные!R7 = 0, 0,(накопительные!R7/SUM(накопительные!R$2:R$34))^$B$39)</f>
        <v>98.89871382636656</v>
      </c>
      <c r="S7">
        <f>IF(накопительные!S7 = 0, 0,(накопительные!S7/SUM(накопительные!S$2:S$34))^$B$39)</f>
        <v>102.47588424437296</v>
      </c>
      <c r="T7">
        <f>IF(накопительные!T7 = 0, 0,(накопительные!T7/SUM(накопительные!T$2:T$34))^$B$39)</f>
        <v>106.04019292604498</v>
      </c>
    </row>
    <row r="8" spans="1:20" x14ac:dyDescent="0.25">
      <c r="A8" t="s">
        <v>26</v>
      </c>
      <c r="B8">
        <f>IF(накопительные!B8 = 0, 0,(накопительные!B8/SUM(накопительные!B$2:B$34))^$B$39)</f>
        <v>0</v>
      </c>
      <c r="C8">
        <f>IF(накопительные!C8 = 0, 0,(накопительные!C8/SUM(накопительные!C$2:C$34))^$B$39)</f>
        <v>0</v>
      </c>
      <c r="D8">
        <f>IF(накопительные!D8 = 0, 0,(накопительные!D8/SUM(накопительные!D$2:D$34))^$B$39)</f>
        <v>0</v>
      </c>
      <c r="E8">
        <f>IF(накопительные!E8 = 0, 0,(накопительные!E8/SUM(накопительные!E$2:E$34))^$B$39)</f>
        <v>0</v>
      </c>
      <c r="F8">
        <f>IF(накопительные!F8 = 0, 0,(накопительные!F8/SUM(накопительные!F$2:F$34))^$B$39)</f>
        <v>0</v>
      </c>
      <c r="G8">
        <f>IF(накопительные!G8 = 0, 0,(накопительные!G8/SUM(накопительные!G$2:G$34))^$B$39)</f>
        <v>380.98000000000008</v>
      </c>
      <c r="H8">
        <f>IF(накопительные!H8 = 0, 0,(накопительные!H8/SUM(накопительные!H$2:H$34))^$B$39)</f>
        <v>254.56470588235302</v>
      </c>
      <c r="I8">
        <f>IF(накопительные!I8 = 0, 0,(накопительные!I8/SUM(накопительные!I$2:I$34))^$B$39)</f>
        <v>247.31578947368428</v>
      </c>
      <c r="J8">
        <f>IF(накопительные!J8 = 0, 0,(накопительные!J8/SUM(накопительные!J$2:J$34))^$B$39)</f>
        <v>213.44799999999998</v>
      </c>
      <c r="K8">
        <f>IF(накопительные!K8 = 0, 0,(накопительные!K8/SUM(накопительные!K$2:K$34))^$B$39)</f>
        <v>154.49268292682933</v>
      </c>
      <c r="L8">
        <f>IF(накопительные!L8 = 0, 0,(накопительные!L8/SUM(накопительные!L$2:L$34))^$B$39)</f>
        <v>99.805633802816914</v>
      </c>
      <c r="M8">
        <f>IF(накопительные!M8 = 0, 0,(накопительные!M8/SUM(накопительные!M$2:M$34))^$B$39)</f>
        <v>93.178823529411758</v>
      </c>
      <c r="N8">
        <f>IF(накопительные!N8 = 0, 0,(накопительные!N8/SUM(накопительные!N$2:N$34))^$B$39)</f>
        <v>85.537373737373713</v>
      </c>
      <c r="O8">
        <f>IF(накопительные!O8 = 0, 0,(накопительные!O8/SUM(накопительные!O$2:O$34))^$B$39)</f>
        <v>83.838938053097323</v>
      </c>
      <c r="P8">
        <f>IF(накопительные!P8 = 0, 0,(накопительные!P8/SUM(накопительные!P$2:P$34))^$B$39)</f>
        <v>90.458407079646022</v>
      </c>
      <c r="Q8">
        <f>IF(накопительные!Q8 = 0, 0,(накопительные!Q8/SUM(накопительные!Q$2:Q$34))^$B$39)</f>
        <v>97.750442477876135</v>
      </c>
      <c r="R8">
        <f>IF(накопительные!R8 = 0, 0,(накопительные!R8/SUM(накопительные!R$2:R$34))^$B$39)</f>
        <v>107.92105263157893</v>
      </c>
      <c r="S8">
        <f>IF(накопительные!S8 = 0, 0,(накопительные!S8/SUM(накопительные!S$2:S$34))^$B$39)</f>
        <v>101.17460317460315</v>
      </c>
      <c r="T8">
        <f>IF(накопительные!T8 = 0, 0,(накопительные!T8/SUM(накопительные!T$2:T$34))^$B$39)</f>
        <v>84.5602564102564</v>
      </c>
    </row>
    <row r="9" spans="1:20" x14ac:dyDescent="0.25">
      <c r="A9" t="s">
        <v>27</v>
      </c>
      <c r="B9">
        <f>IF(накопительные!B9 = 0, 0,(накопительные!B9/SUM(накопительные!B$2:B$34))^$B$39)</f>
        <v>0</v>
      </c>
      <c r="C9">
        <f>IF(накопительные!C9 = 0, 0,(накопительные!C9/SUM(накопительные!C$2:C$34))^$B$39)</f>
        <v>0</v>
      </c>
      <c r="D9">
        <f>IF(накопительные!D9 = 0, 0,(накопительные!D9/SUM(накопительные!D$2:D$34))^$B$39)</f>
        <v>0</v>
      </c>
      <c r="E9">
        <f>IF(накопительные!E9 = 0, 0,(накопительные!E9/SUM(накопительные!E$2:E$34))^$B$39)</f>
        <v>0</v>
      </c>
      <c r="F9">
        <f>IF(накопительные!F9 = 0, 0,(накопительные!F9/SUM(накопительные!F$2:F$34))^$B$39)</f>
        <v>0</v>
      </c>
      <c r="G9">
        <f>IF(накопительные!G9 = 0, 0,(накопительные!G9/SUM(накопительные!G$2:G$34))^$B$39)</f>
        <v>0</v>
      </c>
      <c r="H9">
        <f>IF(накопительные!H9 = 0, 0,(накопительные!H9/SUM(накопительные!H$2:H$34))^$B$39)</f>
        <v>0</v>
      </c>
      <c r="I9">
        <f>IF(накопительные!I9 = 0, 0,(накопительные!I9/SUM(накопительные!I$2:I$34))^$B$39)</f>
        <v>0</v>
      </c>
      <c r="J9">
        <f>IF(накопительные!J9 = 0, 0,(накопительные!J9/SUM(накопительные!J$2:J$34))^$B$39)</f>
        <v>166.75624999999999</v>
      </c>
      <c r="K9">
        <f>IF(накопительные!K9 = 0, 0,(накопительные!K9/SUM(накопительные!K$2:K$34))^$B$39)</f>
        <v>197.94375000000002</v>
      </c>
      <c r="L9">
        <f>IF(накопительные!L9 = 0, 0,(накопительные!L9/SUM(накопительные!L$2:L$34))^$B$39)</f>
        <v>88.577500000000015</v>
      </c>
      <c r="M9">
        <f>IF(накопительные!M9 = 0, 0,(накопительные!M9/SUM(накопительные!M$2:M$34))^$B$39)</f>
        <v>99.002500000000012</v>
      </c>
      <c r="N9">
        <f>IF(накопительные!N9 = 0, 0,(накопительные!N9/SUM(накопительные!N$2:N$34))^$B$39)</f>
        <v>105.85249999999998</v>
      </c>
      <c r="O9">
        <f>IF(накопительные!O9 = 0, 0,(накопительные!O9/SUM(накопительные!O$2:O$34))^$B$39)</f>
        <v>112.78333333333332</v>
      </c>
      <c r="P9">
        <f>IF(накопительные!P9 = 0, 0,(накопительные!P9/SUM(накопительные!P$2:P$34))^$B$39)</f>
        <v>116.15681818181818</v>
      </c>
      <c r="Q9">
        <f>IF(накопительные!Q9 = 0, 0,(накопительные!Q9/SUM(накопительные!Q$2:Q$34))^$B$39)</f>
        <v>125.52045454545457</v>
      </c>
      <c r="R9">
        <f>IF(накопительные!R9 = 0, 0,(накопительные!R9/SUM(накопительные!R$2:R$34))^$B$39)</f>
        <v>139.80681818181816</v>
      </c>
      <c r="S9">
        <f>IF(накопительные!S9 = 0, 0,(накопительные!S9/SUM(накопительные!S$2:S$34))^$B$39)</f>
        <v>144.86363636363632</v>
      </c>
      <c r="T9">
        <f>IF(накопительные!T9 = 0, 0,(накопительные!T9/SUM(накопительные!T$2:T$34))^$B$39)</f>
        <v>149.90227272727267</v>
      </c>
    </row>
    <row r="10" spans="1:20" x14ac:dyDescent="0.25">
      <c r="A10" t="s">
        <v>28</v>
      </c>
      <c r="B10">
        <f>IF(накопительные!B10 = 0, 0,(накопительные!B10/SUM(накопительные!B$2:B$34))^$B$39)</f>
        <v>71.040000000000006</v>
      </c>
      <c r="C10">
        <f>IF(накопительные!C10 = 0, 0,(накопительные!C10/SUM(накопительные!C$2:C$34))^$B$39)</f>
        <v>158.57777777777778</v>
      </c>
      <c r="D10">
        <f>IF(накопительные!D10 = 0, 0,(накопительные!D10/SUM(накопительные!D$2:D$34))^$B$39)</f>
        <v>40.578723404255314</v>
      </c>
      <c r="E10">
        <f>IF(накопительные!E10 = 0, 0,(накопительные!E10/SUM(накопительные!E$2:E$34))^$B$39)</f>
        <v>53.150000000000006</v>
      </c>
      <c r="F10">
        <f>IF(накопительные!F10 = 0, 0,(накопительные!F10/SUM(накопительные!F$2:F$34))^$B$39)</f>
        <v>66.808333333333337</v>
      </c>
      <c r="G10">
        <f>IF(накопительные!G10 = 0, 0,(накопительные!G10/SUM(накопительные!G$2:G$34))^$B$39)</f>
        <v>59.52812500000001</v>
      </c>
      <c r="H10">
        <f>IF(накопительные!H10 = 0, 0,(накопительные!H10/SUM(накопительные!H$2:H$34))^$B$39)</f>
        <v>67.618750000000006</v>
      </c>
      <c r="I10">
        <f>IF(накопительные!I10 = 0, 0,(накопительные!I10/SUM(накопительные!I$2:I$34))^$B$39)</f>
        <v>73.421875000000014</v>
      </c>
      <c r="J10">
        <f>IF(накопительные!J10 = 0, 0,(накопительные!J10/SUM(накопительные!J$2:J$34))^$B$39)</f>
        <v>54.451020408163259</v>
      </c>
      <c r="K10">
        <f>IF(накопительные!K10 = 0, 0,(накопительные!K10/SUM(накопительные!K$2:K$34))^$B$39)</f>
        <v>64.634693877551044</v>
      </c>
      <c r="L10">
        <f>IF(накопительные!L10 = 0, 0,(накопительные!L10/SUM(накопительные!L$2:L$34))^$B$39)</f>
        <v>52.104411764705887</v>
      </c>
      <c r="M10">
        <f>IF(накопительные!M10 = 0, 0,(накопительные!M10/SUM(накопительные!M$2:M$34))^$B$39)</f>
        <v>56.171631205673755</v>
      </c>
      <c r="N10">
        <f>IF(накопительные!N10 = 0, 0,(накопительные!N10/SUM(накопительные!N$2:N$34))^$B$39)</f>
        <v>60.058156028368771</v>
      </c>
      <c r="O10">
        <f>IF(накопительные!O10 = 0, 0,(накопительные!O10/SUM(накопительные!O$2:O$34))^$B$39)</f>
        <v>66.250349650349634</v>
      </c>
      <c r="P10">
        <f>IF(накопительные!P10 = 0, 0,(накопительные!P10/SUM(накопительные!P$2:P$34))^$B$39)</f>
        <v>71.481118881118888</v>
      </c>
      <c r="Q10">
        <f>IF(накопительные!Q10 = 0, 0,(накопительные!Q10/SUM(накопительные!Q$2:Q$34))^$B$39)</f>
        <v>77.243356643356663</v>
      </c>
      <c r="R10">
        <f>IF(накопительные!R10 = 0, 0,(накопительные!R10/SUM(накопительные!R$2:R$34))^$B$39)</f>
        <v>82.570469798657712</v>
      </c>
      <c r="S10">
        <f>IF(накопительные!S10 = 0, 0,(накопительные!S10/SUM(накопительные!S$2:S$34))^$B$39)</f>
        <v>84.98666666666665</v>
      </c>
      <c r="T10">
        <f>IF(накопительные!T10 = 0, 0,(накопительные!T10/SUM(накопительные!T$2:T$34))^$B$39)</f>
        <v>87.942666666666639</v>
      </c>
    </row>
    <row r="11" spans="1:20" x14ac:dyDescent="0.25">
      <c r="A11" t="s">
        <v>29</v>
      </c>
      <c r="B11">
        <f>IF(накопительные!B11 = 0, 0,(накопительные!B11/SUM(накопительные!B$2:B$34))^$B$39)</f>
        <v>35.520000000000003</v>
      </c>
      <c r="C11">
        <f>IF(накопительные!C11 = 0, 0,(накопительные!C11/SUM(накопительные!C$2:C$34))^$B$39)</f>
        <v>35.68</v>
      </c>
      <c r="D11">
        <f>IF(накопительные!D11 = 0, 0,(накопительные!D11/SUM(накопительные!D$2:D$34))^$B$39)</f>
        <v>18.338461538461534</v>
      </c>
      <c r="E11">
        <f>IF(накопительные!E11 = 0, 0,(накопительные!E11/SUM(накопительные!E$2:E$34))^$B$39)</f>
        <v>23.192727272727272</v>
      </c>
      <c r="F11">
        <f>IF(накопительные!F11 = 0, 0,(накопительные!F11/SUM(накопительные!F$2:F$34))^$B$39)</f>
        <v>29.152727272727272</v>
      </c>
      <c r="G11">
        <f>IF(накопительные!G11 = 0, 0,(накопительные!G11/SUM(накопительные!G$2:G$34))^$B$39)</f>
        <v>34.63454545454546</v>
      </c>
      <c r="H11">
        <f>IF(накопительные!H11 = 0, 0,(накопительные!H11/SUM(накопительные!H$2:H$34))^$B$39)</f>
        <v>36.674576271186446</v>
      </c>
      <c r="I11">
        <f>IF(накопительные!I11 = 0, 0,(накопительные!I11/SUM(накопительные!I$2:I$34))^$B$39)</f>
        <v>39.822033898305087</v>
      </c>
      <c r="J11">
        <f>IF(накопительные!J11 = 0, 0,(накопительные!J11/SUM(накопительные!J$2:J$34))^$B$39)</f>
        <v>45.222033898305085</v>
      </c>
      <c r="K11">
        <f>IF(накопительные!K11 = 0, 0,(накопительные!K11/SUM(накопительные!K$2:K$34))^$B$39)</f>
        <v>53.679661016949169</v>
      </c>
      <c r="L11">
        <f>IF(накопительные!L11 = 0, 0,(накопительные!L11/SUM(накопительные!L$2:L$34))^$B$39)</f>
        <v>60.052542372881362</v>
      </c>
      <c r="M11">
        <f>IF(накопительные!M11 = 0, 0,(накопительные!M11/SUM(накопительные!M$2:M$34))^$B$39)</f>
        <v>67.120338983050843</v>
      </c>
      <c r="N11">
        <f>IF(накопительные!N11 = 0, 0,(накопительные!N11/SUM(накопительные!N$2:N$34))^$B$39)</f>
        <v>71.764406779661002</v>
      </c>
      <c r="O11">
        <f>IF(накопительные!O11 = 0, 0,(накопительные!O11/SUM(накопительные!O$2:O$34))^$B$39)</f>
        <v>80.286440677966098</v>
      </c>
      <c r="P11">
        <f>IF(накопительные!P11 = 0, 0,(накопительные!P11/SUM(накопительные!P$2:P$34))^$B$39)</f>
        <v>86.625423728813573</v>
      </c>
      <c r="Q11">
        <f>IF(накопительные!Q11 = 0, 0,(накопительные!Q11/SUM(накопительные!Q$2:Q$34))^$B$39)</f>
        <v>93.608474576271206</v>
      </c>
      <c r="R11">
        <f>IF(накопительные!R11 = 0, 0,(накопительные!R11/SUM(накопительные!R$2:R$34))^$B$39)</f>
        <v>104.26271186440677</v>
      </c>
      <c r="S11">
        <f>IF(накопительные!S11 = 0, 0,(накопительные!S11/SUM(накопительные!S$2:S$34))^$B$39)</f>
        <v>108.03389830508472</v>
      </c>
      <c r="T11">
        <f>IF(накопительные!T11 = 0, 0,(накопительные!T11/SUM(накопительные!T$2:T$34))^$B$39)</f>
        <v>111.79152542372877</v>
      </c>
    </row>
    <row r="12" spans="1:20" x14ac:dyDescent="0.25">
      <c r="A12" t="s">
        <v>30</v>
      </c>
      <c r="B12">
        <f>IF(накопительные!B12 = 0, 0,(накопительные!B12/SUM(накопительные!B$2:B$34))^$B$39)</f>
        <v>0</v>
      </c>
      <c r="C12">
        <f>IF(накопительные!C12 = 0, 0,(накопительные!C12/SUM(накопительные!C$2:C$34))^$B$39)</f>
        <v>0</v>
      </c>
      <c r="D12">
        <f>IF(накопительные!D12 = 0, 0,(накопительные!D12/SUM(накопительные!D$2:D$34))^$B$39)</f>
        <v>0</v>
      </c>
      <c r="E12">
        <f>IF(накопительные!E12 = 0, 0,(накопительные!E12/SUM(накопительные!E$2:E$34))^$B$39)</f>
        <v>0</v>
      </c>
      <c r="F12">
        <f>IF(накопительные!F12 = 0, 0,(накопительные!F12/SUM(накопительные!F$2:F$34))^$B$39)</f>
        <v>76.35238095238094</v>
      </c>
      <c r="G12">
        <f>IF(накопительные!G12 = 0, 0,(накопительные!G12/SUM(накопительные!G$2:G$34))^$B$39)</f>
        <v>65.686206896551724</v>
      </c>
      <c r="H12">
        <f>IF(накопительные!H12 = 0, 0,(накопительные!H12/SUM(накопительные!H$2:H$34))^$B$39)</f>
        <v>65.569696969696977</v>
      </c>
      <c r="I12">
        <f>IF(накопительные!I12 = 0, 0,(накопительные!I12/SUM(накопительные!I$2:I$34))^$B$39)</f>
        <v>61.828947368421062</v>
      </c>
      <c r="J12">
        <f>IF(накопительные!J12 = 0, 0,(накопительные!J12/SUM(накопительные!J$2:J$34))^$B$39)</f>
        <v>62.04883720930232</v>
      </c>
      <c r="K12">
        <f>IF(накопительные!K12 = 0, 0,(накопительные!K12/SUM(накопительные!K$2:K$34))^$B$39)</f>
        <v>67.385106382978734</v>
      </c>
      <c r="L12">
        <f>IF(накопительные!L12 = 0, 0,(накопительные!L12/SUM(накопительные!L$2:L$34))^$B$39)</f>
        <v>72.308163265306121</v>
      </c>
      <c r="M12">
        <f>IF(накопительные!M12 = 0, 0,(накопительные!M12/SUM(накопительные!M$2:M$34))^$B$39)</f>
        <v>68.27758620689653</v>
      </c>
      <c r="N12">
        <f>IF(накопительные!N12 = 0, 0,(накопительные!N12/SUM(накопительные!N$2:N$34))^$B$39)</f>
        <v>64.153030303030278</v>
      </c>
      <c r="O12">
        <f>IF(накопительные!O12 = 0, 0,(накопительные!O12/SUM(накопительные!O$2:O$34))^$B$39)</f>
        <v>67.190070921985793</v>
      </c>
      <c r="P12">
        <f>IF(накопительные!P12 = 0, 0,(накопительные!P12/SUM(накопительные!P$2:P$34))^$B$39)</f>
        <v>71.984507042253512</v>
      </c>
      <c r="Q12">
        <f>IF(накопительные!Q12 = 0, 0,(накопительные!Q12/SUM(накопительные!Q$2:Q$34))^$B$39)</f>
        <v>76.70694444444446</v>
      </c>
      <c r="R12">
        <f>IF(накопительные!R12 = 0, 0,(накопительные!R12/SUM(накопительные!R$2:R$34))^$B$39)</f>
        <v>79.889610389610382</v>
      </c>
      <c r="S12">
        <f>IF(накопительные!S12 = 0, 0,(накопительные!S12/SUM(накопительные!S$2:S$34))^$B$39)</f>
        <v>74.549707602339154</v>
      </c>
      <c r="T12">
        <f>IF(накопительные!T12 = 0, 0,(накопительные!T12/SUM(накопительные!T$2:T$34))^$B$39)</f>
        <v>76.250867052023096</v>
      </c>
    </row>
    <row r="13" spans="1:20" x14ac:dyDescent="0.25">
      <c r="A13" t="s">
        <v>31</v>
      </c>
      <c r="B13">
        <f>IF(накопительные!B13 = 0, 0,(накопительные!B13/SUM(накопительные!B$2:B$34))^$B$39)</f>
        <v>0</v>
      </c>
      <c r="C13">
        <f>IF(накопительные!C13 = 0, 0,(накопительные!C13/SUM(накопительные!C$2:C$34))^$B$39)</f>
        <v>0</v>
      </c>
      <c r="D13">
        <f>IF(накопительные!D13 = 0, 0,(накопительные!D13/SUM(накопительные!D$2:D$34))^$B$39)</f>
        <v>0</v>
      </c>
      <c r="E13">
        <f>IF(накопительные!E13 = 0, 0,(накопительные!E13/SUM(накопительные!E$2:E$34))^$B$39)</f>
        <v>0</v>
      </c>
      <c r="F13">
        <f>IF(накопительные!F13 = 0, 0,(накопительные!F13/SUM(накопительные!F$2:F$34))^$B$39)</f>
        <v>57.26428571428572</v>
      </c>
      <c r="G13">
        <f>IF(накопительные!G13 = 0, 0,(накопительные!G13/SUM(накопительные!G$2:G$34))^$B$39)</f>
        <v>36.632692307692324</v>
      </c>
      <c r="H13">
        <f>IF(накопительные!H13 = 0, 0,(накопительные!H13/SUM(накопительные!H$2:H$34))^$B$39)</f>
        <v>41.611538461538473</v>
      </c>
      <c r="I13">
        <f>IF(накопительные!I13 = 0, 0,(накопительные!I13/SUM(накопительные!I$2:I$34))^$B$39)</f>
        <v>27.641176470588242</v>
      </c>
      <c r="J13">
        <f>IF(накопительные!J13 = 0, 0,(накопительные!J13/SUM(накопительные!J$2:J$34))^$B$39)</f>
        <v>31.38941176470588</v>
      </c>
      <c r="K13">
        <f>IF(накопительные!K13 = 0, 0,(накопительные!K13/SUM(накопительные!K$2:K$34))^$B$39)</f>
        <v>23.993181818181828</v>
      </c>
      <c r="L13">
        <f>IF(накопительные!L13 = 0, 0,(накопительные!L13/SUM(накопительные!L$2:L$34))^$B$39)</f>
        <v>26.841666666666676</v>
      </c>
      <c r="M13">
        <f>IF(накопительные!M13 = 0, 0,(накопительные!M13/SUM(накопительные!M$2:M$34))^$B$39)</f>
        <v>30.000757575757579</v>
      </c>
      <c r="N13">
        <f>IF(накопительные!N13 = 0, 0,(накопительные!N13/SUM(накопительные!N$2:N$34))^$B$39)</f>
        <v>32.076515151515146</v>
      </c>
      <c r="O13">
        <f>IF(накопительные!O13 = 0, 0,(накопительные!O13/SUM(накопительные!O$2:O$34))^$B$39)</f>
        <v>33.834999999999994</v>
      </c>
      <c r="P13">
        <f>IF(накопительные!P13 = 0, 0,(накопительные!P13/SUM(накопительные!P$2:P$34))^$B$39)</f>
        <v>36.506428571428579</v>
      </c>
      <c r="Q13">
        <f>IF(накопительные!Q13 = 0, 0,(накопительные!Q13/SUM(накопительные!Q$2:Q$34))^$B$39)</f>
        <v>39.449285714285729</v>
      </c>
      <c r="R13">
        <f>IF(накопительные!R13 = 0, 0,(накопительные!R13/SUM(накопительные!R$2:R$34))^$B$39)</f>
        <v>43.782918149466184</v>
      </c>
      <c r="S13">
        <f>IF(накопительные!S13 = 0, 0,(накопительные!S13/SUM(накопительные!S$2:S$34))^$B$39)</f>
        <v>45.045936395759711</v>
      </c>
      <c r="T13">
        <f>IF(накопительные!T13 = 0, 0,(накопительные!T13/SUM(накопительные!T$2:T$34))^$B$39)</f>
        <v>46.612720848056519</v>
      </c>
    </row>
    <row r="14" spans="1:20" x14ac:dyDescent="0.25">
      <c r="A14" t="s">
        <v>32</v>
      </c>
      <c r="B14">
        <f>IF(накопительные!B14 = 0, 0,(накопительные!B14/SUM(накопительные!B$2:B$34))^$B$39)</f>
        <v>13.661538461538461</v>
      </c>
      <c r="C14">
        <f>IF(накопительные!C14 = 0, 0,(накопительные!C14/SUM(накопительные!C$2:C$34))^$B$39)</f>
        <v>6.9960784313725481</v>
      </c>
      <c r="D14">
        <f>IF(накопительные!D14 = 0, 0,(накопительные!D14/SUM(накопительные!D$2:D$34))^$B$39)</f>
        <v>5.7445783132530108</v>
      </c>
      <c r="E14">
        <f>IF(накопительные!E14 = 0, 0,(накопительные!E14/SUM(накопительные!E$2:E$34))^$B$39)</f>
        <v>5.0820717131474096</v>
      </c>
      <c r="F14">
        <f>IF(накопительные!F14 = 0, 0,(накопительные!F14/SUM(накопительные!F$2:F$34))^$B$39)</f>
        <v>5.7676258992805751</v>
      </c>
      <c r="G14">
        <f>IF(накопительные!G14 = 0, 0,(накопительные!G14/SUM(накопительные!G$2:G$34))^$B$39)</f>
        <v>6.2867986798679878</v>
      </c>
      <c r="H14">
        <f>IF(накопительные!H14 = 0, 0,(накопительные!H14/SUM(накопительные!H$2:H$34))^$B$39)</f>
        <v>6.6990712074303431</v>
      </c>
      <c r="I14">
        <f>IF(накопительные!I14 = 0, 0,(накопительные!I14/SUM(накопительные!I$2:I$34))^$B$39)</f>
        <v>7.0344311377245523</v>
      </c>
      <c r="J14">
        <f>IF(накопительные!J14 = 0, 0,(накопительные!J14/SUM(накопительные!J$2:J$34))^$B$39)</f>
        <v>6.4137019230769239</v>
      </c>
      <c r="K14">
        <f>IF(накопительные!K14 = 0, 0,(накопительные!K14/SUM(накопительные!K$2:K$34))^$B$39)</f>
        <v>7.6132211538461583</v>
      </c>
      <c r="L14">
        <f>IF(накопительные!L14 = 0, 0,(накопительные!L14/SUM(накопительные!L$2:L$34))^$B$39)</f>
        <v>8.506842737094841</v>
      </c>
      <c r="M14">
        <f>IF(накопительные!M14 = 0, 0,(накопительные!M14/SUM(накопительные!M$2:M$34))^$B$39)</f>
        <v>9.4739234449760783</v>
      </c>
      <c r="N14">
        <f>IF(накопительные!N14 = 0, 0,(накопительные!N14/SUM(накопительные!N$2:N$34))^$B$39)</f>
        <v>10.105250596658712</v>
      </c>
      <c r="O14">
        <f>IF(накопительные!O14 = 0, 0,(накопительные!O14/SUM(накопительные!O$2:O$34))^$B$39)</f>
        <v>11.305250596658711</v>
      </c>
      <c r="P14">
        <f>IF(накопительные!P14 = 0, 0,(накопительные!P14/SUM(накопительные!P$2:P$34))^$B$39)</f>
        <v>11.433780760626403</v>
      </c>
      <c r="Q14">
        <f>IF(накопительные!Q14 = 0, 0,(накопительные!Q14/SUM(накопительные!Q$2:Q$34))^$B$39)</f>
        <v>11.928509719222468</v>
      </c>
      <c r="R14">
        <f>IF(накопительные!R14 = 0, 0,(накопительные!R14/SUM(накопительные!R$2:R$34))^$B$39)</f>
        <v>11.852601156069367</v>
      </c>
      <c r="S14">
        <f>IF(накопительные!S14 = 0, 0,(накопительные!S14/SUM(накопительные!S$2:S$34))^$B$39)</f>
        <v>12.26948989412897</v>
      </c>
      <c r="T14">
        <f>IF(накопительные!T14 = 0, 0,(накопительные!T14/SUM(накопительные!T$2:T$34))^$B$39)</f>
        <v>12.293942218080147</v>
      </c>
    </row>
    <row r="15" spans="1:20" x14ac:dyDescent="0.25">
      <c r="A15" t="s">
        <v>33</v>
      </c>
      <c r="B15">
        <f>IF(накопительные!B15 = 0, 0,(накопительные!B15/SUM(накопительные!B$2:B$34))^$B$39)</f>
        <v>39.466666666666669</v>
      </c>
      <c r="C15">
        <f>IF(накопительные!C15 = 0, 0,(накопительные!C15/SUM(накопительные!C$2:C$34))^$B$39)</f>
        <v>40.777142857142856</v>
      </c>
      <c r="D15">
        <f>IF(накопительные!D15 = 0, 0,(накопительные!D15/SUM(накопительные!D$2:D$34))^$B$39)</f>
        <v>46.517073170731706</v>
      </c>
      <c r="E15">
        <f>IF(накопительные!E15 = 0, 0,(накопительные!E15/SUM(накопительные!E$2:E$34))^$B$39)</f>
        <v>57.981818181818191</v>
      </c>
      <c r="F15">
        <f>IF(накопительные!F15 = 0, 0,(накопительные!F15/SUM(накопительные!F$2:F$34))^$B$39)</f>
        <v>51.722580645161294</v>
      </c>
      <c r="G15">
        <f>IF(накопительные!G15 = 0, 0,(накопительные!G15/SUM(накопительные!G$2:G$34))^$B$39)</f>
        <v>46.460975609756112</v>
      </c>
      <c r="H15">
        <f>IF(накопительные!H15 = 0, 0,(накопительные!H15/SUM(накопительные!H$2:H$34))^$B$39)</f>
        <v>49.177272727272744</v>
      </c>
      <c r="I15">
        <f>IF(накопительные!I15 = 0, 0,(накопительные!I15/SUM(накопительные!I$2:I$34))^$B$39)</f>
        <v>44.330188679245289</v>
      </c>
      <c r="J15">
        <f>IF(накопительные!J15 = 0, 0,(накопительные!J15/SUM(накопительные!J$2:J$34))^$B$39)</f>
        <v>35.106578947368426</v>
      </c>
      <c r="K15">
        <f>IF(накопительные!K15 = 0, 0,(накопительные!K15/SUM(накопительные!K$2:K$34))^$B$39)</f>
        <v>40.603846153846163</v>
      </c>
      <c r="L15">
        <f>IF(накопительные!L15 = 0, 0,(накопительные!L15/SUM(накопительные!L$2:L$34))^$B$39)</f>
        <v>43.741975308641983</v>
      </c>
      <c r="M15">
        <f>IF(накопительные!M15 = 0, 0,(накопительные!M15/SUM(накопительные!M$2:M$34))^$B$39)</f>
        <v>47.144047619047619</v>
      </c>
      <c r="N15">
        <f>IF(накопительные!N15 = 0, 0,(накопительные!N15/SUM(накопительные!N$2:N$34))^$B$39)</f>
        <v>49.812941176470581</v>
      </c>
      <c r="O15">
        <f>IF(накопительные!O15 = 0, 0,(накопительные!O15/SUM(накопительные!O$2:O$34))^$B$39)</f>
        <v>55.532239155920273</v>
      </c>
      <c r="P15">
        <f>IF(накопительные!P15 = 0, 0,(накопительные!P15/SUM(накопительные!P$2:P$34))^$B$39)</f>
        <v>49.959921798631491</v>
      </c>
      <c r="Q15">
        <f>IF(накопительные!Q15 = 0, 0,(накопительные!Q15/SUM(накопительные!Q$2:Q$34))^$B$39)</f>
        <v>52.952061361457368</v>
      </c>
      <c r="R15">
        <f>IF(накопительные!R15 = 0, 0,(накопительные!R15/SUM(накопительные!R$2:R$34))^$B$39)</f>
        <v>51.563285834031859</v>
      </c>
      <c r="S15">
        <f>IF(накопительные!S15 = 0, 0,(накопительные!S15/SUM(накопительные!S$2:S$34))^$B$39)</f>
        <v>50.467141726049086</v>
      </c>
      <c r="T15">
        <f>IF(накопительные!T15 = 0, 0,(накопительные!T15/SUM(накопительные!T$2:T$34))^$B$39)</f>
        <v>48.391049156272921</v>
      </c>
    </row>
    <row r="16" spans="1:20" x14ac:dyDescent="0.25">
      <c r="A16" t="s">
        <v>34</v>
      </c>
      <c r="B16">
        <f>IF(накопительные!B16 = 0, 0,(накопительные!B16/SUM(накопительные!B$2:B$34))^$B$39)</f>
        <v>44.4</v>
      </c>
      <c r="C16">
        <f>IF(накопительные!C16 = 0, 0,(накопительные!C16/SUM(накопительные!C$2:C$34))^$B$39)</f>
        <v>89.199999999999989</v>
      </c>
      <c r="D16">
        <f>IF(накопительные!D16 = 0, 0,(накопительные!D16/SUM(накопительные!D$2:D$34))^$B$39)</f>
        <v>68.114285714285714</v>
      </c>
      <c r="E16">
        <f>IF(накопительные!E16 = 0, 0,(накопительные!E16/SUM(накопительные!E$2:E$34))^$B$39)</f>
        <v>79.725000000000009</v>
      </c>
      <c r="F16">
        <f>IF(накопительные!F16 = 0, 0,(накопительные!F16/SUM(накопительные!F$2:F$34))^$B$39)</f>
        <v>55.289655172413795</v>
      </c>
      <c r="G16">
        <f>IF(накопительные!G16 = 0, 0,(накопительные!G16/SUM(накопительные!G$2:G$34))^$B$39)</f>
        <v>65.686206896551738</v>
      </c>
      <c r="H16">
        <f>IF(накопительные!H16 = 0, 0,(накопительные!H16/SUM(накопительные!H$2:H$34))^$B$39)</f>
        <v>69.800000000000011</v>
      </c>
      <c r="I16">
        <f>IF(накопительные!I16 = 0, 0,(накопительные!I16/SUM(накопительные!I$2:I$34))^$B$39)</f>
        <v>71.196969696969703</v>
      </c>
      <c r="J16">
        <f>IF(накопительные!J16 = 0, 0,(накопительные!J16/SUM(накопительные!J$2:J$34))^$B$39)</f>
        <v>80.123123123123122</v>
      </c>
      <c r="K16">
        <f>IF(накопительные!K16 = 0, 0,(накопительные!K16/SUM(накопительные!K$2:K$34))^$B$39)</f>
        <v>95.108108108108141</v>
      </c>
      <c r="L16">
        <f>IF(накопительные!L16 = 0, 0,(накопительные!L16/SUM(накопительные!L$2:L$34))^$B$39)</f>
        <v>106.39939939939941</v>
      </c>
      <c r="M16">
        <f>IF(накопительные!M16 = 0, 0,(накопительные!M16/SUM(накопительные!M$2:M$34))^$B$39)</f>
        <v>118.92192192192192</v>
      </c>
      <c r="N16">
        <f>IF(накопительные!N16 = 0, 0,(накопительные!N16/SUM(накопительные!N$2:N$34))^$B$39)</f>
        <v>127.15015015015011</v>
      </c>
      <c r="O16">
        <f>IF(накопительные!O16 = 0, 0,(накопительные!O16/SUM(накопительные!O$2:O$34))^$B$39)</f>
        <v>142.24924924924923</v>
      </c>
      <c r="P16">
        <f>IF(накопительные!P16 = 0, 0,(накопительные!P16/SUM(накопительные!P$2:P$34))^$B$39)</f>
        <v>149.0058309037901</v>
      </c>
      <c r="Q16">
        <f>IF(накопительные!Q16 = 0, 0,(накопительные!Q16/SUM(накопительные!Q$2:Q$34))^$B$39)</f>
        <v>152.1460055096419</v>
      </c>
      <c r="R16">
        <f>IF(накопительные!R16 = 0, 0,(накопительные!R16/SUM(накопительные!R$2:R$34))^$B$39)</f>
        <v>169.46280991735534</v>
      </c>
      <c r="S16">
        <f>IF(накопительные!S16 = 0, 0,(накопительные!S16/SUM(накопительные!S$2:S$34))^$B$39)</f>
        <v>175.59228650137737</v>
      </c>
      <c r="T16">
        <f>IF(накопительные!T16 = 0, 0,(накопительные!T16/SUM(накопительные!T$2:T$34))^$B$39)</f>
        <v>145.60044150110369</v>
      </c>
    </row>
    <row r="17" spans="1:20" x14ac:dyDescent="0.25">
      <c r="A17" t="s">
        <v>35</v>
      </c>
      <c r="B17">
        <f>IF(накопительные!B17 = 0, 0,(накопительные!B17/SUM(накопительные!B$2:B$34))^$B$39)</f>
        <v>0</v>
      </c>
      <c r="C17">
        <f>IF(накопительные!C17 = 0, 0,(накопительные!C17/SUM(накопительные!C$2:C$34))^$B$39)</f>
        <v>0</v>
      </c>
      <c r="D17">
        <f>IF(накопительные!D17 = 0, 0,(накопительные!D17/SUM(накопительные!D$2:D$34))^$B$39)</f>
        <v>0</v>
      </c>
      <c r="E17">
        <f>IF(накопительные!E17 = 0, 0,(накопительные!E17/SUM(накопительные!E$2:E$34))^$B$39)</f>
        <v>0</v>
      </c>
      <c r="F17">
        <f>IF(накопительные!F17 = 0, 0,(накопительные!F17/SUM(накопительные!F$2:F$34))^$B$39)</f>
        <v>534.4666666666667</v>
      </c>
      <c r="G17">
        <f>IF(накопительные!G17 = 0, 0,(накопительные!G17/SUM(накопительные!G$2:G$34))^$B$39)</f>
        <v>634.96666666666681</v>
      </c>
      <c r="H17">
        <f>IF(накопительные!H17 = 0, 0,(накопительные!H17/SUM(накопительные!H$2:H$34))^$B$39)</f>
        <v>721.26666666666688</v>
      </c>
      <c r="I17">
        <f>IF(накопительные!I17 = 0, 0,(накопительные!I17/SUM(накопительные!I$2:I$34))^$B$39)</f>
        <v>783.16666666666686</v>
      </c>
      <c r="J17">
        <f>IF(накопительные!J17 = 0, 0,(накопительные!J17/SUM(накопительные!J$2:J$34))^$B$39)</f>
        <v>889.36666666666667</v>
      </c>
      <c r="K17">
        <f>IF(накопительные!K17 = 0, 0,(накопительные!K17/SUM(накопительные!K$2:K$34))^$B$39)</f>
        <v>1055.7000000000003</v>
      </c>
      <c r="L17">
        <f>IF(накопительные!L17 = 0, 0,(накопительные!L17/SUM(накопительные!L$2:L$34))^$B$39)</f>
        <v>1181.0333333333335</v>
      </c>
      <c r="M17">
        <f>IF(накопительные!M17 = 0, 0,(накопительные!M17/SUM(накопительные!M$2:M$34))^$B$39)</f>
        <v>1320.0333333333333</v>
      </c>
      <c r="N17">
        <f>IF(накопительные!N17 = 0, 0,(накопительные!N17/SUM(накопительные!N$2:N$34))^$B$39)</f>
        <v>1411.3666666666666</v>
      </c>
      <c r="O17">
        <f>IF(накопительные!O17 = 0, 0,(накопительные!O17/SUM(накопительные!O$2:O$34))^$B$39)</f>
        <v>1578.9666666666665</v>
      </c>
      <c r="P17">
        <f>IF(накопительные!P17 = 0, 0,(накопительные!P17/SUM(накопительные!P$2:P$34))^$B$39)</f>
        <v>638.86250000000007</v>
      </c>
      <c r="Q17">
        <f>IF(накопительные!Q17 = 0, 0,(накопительные!Q17/SUM(накопительные!Q$2:Q$34))^$B$39)</f>
        <v>690.36250000000018</v>
      </c>
      <c r="R17">
        <f>IF(накопительные!R17 = 0, 0,(накопительные!R17/SUM(накопительные!R$2:R$34))^$B$39)</f>
        <v>424.24137931034477</v>
      </c>
      <c r="S17">
        <f>IF(накопительные!S17 = 0, 0,(накопительные!S17/SUM(накопительные!S$2:S$34))^$B$39)</f>
        <v>439.58620689655152</v>
      </c>
      <c r="T17">
        <f>IF(накопительные!T17 = 0, 0,(накопительные!T17/SUM(накопительные!T$2:T$34))^$B$39)</f>
        <v>454.87586206896532</v>
      </c>
    </row>
    <row r="18" spans="1:20" x14ac:dyDescent="0.25">
      <c r="A18" t="s">
        <v>36</v>
      </c>
      <c r="B18">
        <f>IF(накопительные!B18 = 0, 0,(накопительные!B18/SUM(накопительные!B$2:B$34))^$B$39)</f>
        <v>0</v>
      </c>
      <c r="C18">
        <f>IF(накопительные!C18 = 0, 0,(накопительные!C18/SUM(накопительные!C$2:C$34))^$B$39)</f>
        <v>0</v>
      </c>
      <c r="D18">
        <f>IF(накопительные!D18 = 0, 0,(накопительные!D18/SUM(накопительные!D$2:D$34))^$B$39)</f>
        <v>953.5999999999998</v>
      </c>
      <c r="E18">
        <f>IF(накопительные!E18 = 0, 0,(накопительные!E18/SUM(накопительные!E$2:E$34))^$B$39)</f>
        <v>510.23999999999995</v>
      </c>
      <c r="F18">
        <f>IF(накопительные!F18 = 0, 0,(накопительные!F18/SUM(накопительные!F$2:F$34))^$B$39)</f>
        <v>572.64285714285711</v>
      </c>
      <c r="G18">
        <f>IF(накопительные!G18 = 0, 0,(накопительные!G18/SUM(накопительные!G$2:G$34))^$B$39)</f>
        <v>680.32142857142867</v>
      </c>
      <c r="H18">
        <f>IF(накопительные!H18 = 0, 0,(накопительные!H18/SUM(накопительные!H$2:H$34))^$B$39)</f>
        <v>569.42105263157907</v>
      </c>
      <c r="I18">
        <f>IF(накопительные!I18 = 0, 0,(накопительные!I18/SUM(накопительные!I$2:I$34))^$B$39)</f>
        <v>618.28947368421063</v>
      </c>
      <c r="J18">
        <f>IF(накопительные!J18 = 0, 0,(накопительные!J18/SUM(накопительные!J$2:J$34))^$B$39)</f>
        <v>392.36764705882359</v>
      </c>
      <c r="K18">
        <f>IF(накопительные!K18 = 0, 0,(накопительные!K18/SUM(накопительные!K$2:K$34))^$B$39)</f>
        <v>465.75000000000017</v>
      </c>
      <c r="L18">
        <f>IF(накопительные!L18 = 0, 0,(накопительные!L18/SUM(накопительные!L$2:L$34))^$B$39)</f>
        <v>521.04411764705901</v>
      </c>
      <c r="M18">
        <f>IF(накопительные!M18 = 0, 0,(накопительные!M18/SUM(накопительные!M$2:M$34))^$B$39)</f>
        <v>366.67592592592587</v>
      </c>
      <c r="N18">
        <f>IF(накопительные!N18 = 0, 0,(накопительные!N18/SUM(накопительные!N$2:N$34))^$B$39)</f>
        <v>330.78906249999989</v>
      </c>
      <c r="O18">
        <f>IF(накопительные!O18 = 0, 0,(накопительные!O18/SUM(накопительные!O$2:O$34))^$B$39)</f>
        <v>370.07031249999994</v>
      </c>
      <c r="P18">
        <f>IF(накопительные!P18 = 0, 0,(накопительные!P18/SUM(накопительные!P$2:P$34))^$B$39)</f>
        <v>399.28906250000011</v>
      </c>
      <c r="Q18">
        <f>IF(накопительные!Q18 = 0, 0,(накопительные!Q18/SUM(накопительные!Q$2:Q$34))^$B$39)</f>
        <v>431.47656250000011</v>
      </c>
      <c r="R18">
        <f>IF(накопительные!R18 = 0, 0,(накопительные!R18/SUM(накопительные!R$2:R$34))^$B$39)</f>
        <v>480.5859375</v>
      </c>
      <c r="S18">
        <f>IF(накопительные!S18 = 0, 0,(накопительные!S18/SUM(накопительные!S$2:S$34))^$B$39)</f>
        <v>497.96874999999983</v>
      </c>
      <c r="T18">
        <f>IF(накопительные!T18 = 0, 0,(накопительные!T18/SUM(накопительные!T$2:T$34))^$B$39)</f>
        <v>495.91729323308255</v>
      </c>
    </row>
    <row r="19" spans="1:20" x14ac:dyDescent="0.25">
      <c r="A19" t="s">
        <v>37</v>
      </c>
      <c r="B19">
        <f>IF(накопительные!B19 = 0, 0,(накопительные!B19/SUM(накопительные!B$2:B$34))^$B$39)</f>
        <v>355.2</v>
      </c>
      <c r="C19">
        <f>IF(накопительные!C19 = 0, 0,(накопительные!C19/SUM(накопительные!C$2:C$34))^$B$39)</f>
        <v>1427.1999999999998</v>
      </c>
      <c r="D19">
        <f>IF(накопительные!D19 = 0, 0,(накопительные!D19/SUM(накопительные!D$2:D$34))^$B$39)</f>
        <v>272.45714285714286</v>
      </c>
      <c r="E19">
        <f>IF(накопительные!E19 = 0, 0,(накопительные!E19/SUM(накопительные!E$2:E$34))^$B$39)</f>
        <v>318.90000000000003</v>
      </c>
      <c r="F19">
        <f>IF(накопительные!F19 = 0, 0,(накопительные!F19/SUM(накопительные!F$2:F$34))^$B$39)</f>
        <v>55.289655172413795</v>
      </c>
      <c r="G19">
        <f>IF(накопительные!G19 = 0, 0,(накопительные!G19/SUM(накопительные!G$2:G$34))^$B$39)</f>
        <v>43.293181818181829</v>
      </c>
      <c r="H19">
        <f>IF(накопительные!H19 = 0, 0,(накопительные!H19/SUM(накопительные!H$2:H$34))^$B$39)</f>
        <v>44.614432989690727</v>
      </c>
      <c r="I19">
        <f>IF(накопительные!I19 = 0, 0,(накопительные!I19/SUM(накопительные!I$2:I$34))^$B$39)</f>
        <v>44.752380952380953</v>
      </c>
      <c r="J19">
        <f>IF(накопительные!J19 = 0, 0,(накопительные!J19/SUM(накопительные!J$2:J$34))^$B$39)</f>
        <v>33.561006289308175</v>
      </c>
      <c r="K19">
        <f>IF(накопительные!K19 = 0, 0,(накопительные!K19/SUM(накопительные!K$2:K$34))^$B$39)</f>
        <v>12.542970297029706</v>
      </c>
      <c r="L19">
        <f>IF(накопительные!L19 = 0, 0,(накопительные!L19/SUM(накопительные!L$2:L$34))^$B$39)</f>
        <v>9.7204389574759951</v>
      </c>
      <c r="M19">
        <f>IF(накопительные!M19 = 0, 0,(накопительные!M19/SUM(накопительные!M$2:M$34))^$B$39)</f>
        <v>8.2416233090530699</v>
      </c>
      <c r="N19">
        <f>IF(накопительные!N19 = 0, 0,(накопительные!N19/SUM(накопительные!N$2:N$34))^$B$39)</f>
        <v>7.9813383600376984</v>
      </c>
      <c r="O19">
        <f>IF(накопительные!O19 = 0, 0,(накопительные!O19/SUM(накопительные!O$2:O$34))^$B$39)</f>
        <v>6.1799086757990853</v>
      </c>
      <c r="P19">
        <f>IF(накопительные!P19 = 0, 0,(накопительные!P19/SUM(накопительные!P$2:P$34))^$B$39)</f>
        <v>6.41669805398619</v>
      </c>
      <c r="Q19">
        <f>IF(накопительные!Q19 = 0, 0,(накопительные!Q19/SUM(накопительные!Q$2:Q$34))^$B$39)</f>
        <v>6.8735532047293102</v>
      </c>
      <c r="R19">
        <f>IF(накопительные!R19 = 0, 0,(накопительные!R19/SUM(накопительные!R$2:R$34))^$B$39)</f>
        <v>7.6558805227131295</v>
      </c>
      <c r="S19">
        <f>IF(накопительные!S19 = 0, 0,(накопительные!S19/SUM(накопительные!S$2:S$34))^$B$39)</f>
        <v>7.8934984520123805</v>
      </c>
      <c r="T19">
        <f>IF(накопительные!T19 = 0, 0,(накопительные!T19/SUM(накопительные!T$2:T$34))^$B$39)</f>
        <v>8.1579468150896695</v>
      </c>
    </row>
    <row r="20" spans="1:20" x14ac:dyDescent="0.25">
      <c r="A20" t="s">
        <v>38</v>
      </c>
      <c r="B20">
        <f>IF(накопительные!B20 = 0, 0,(накопительные!B20/SUM(накопительные!B$2:B$34))^$B$39)</f>
        <v>592</v>
      </c>
      <c r="C20">
        <f>IF(накопительные!C20 = 0, 0,(накопительные!C20/SUM(накопительные!C$2:C$34))^$B$39)</f>
        <v>2378.666666666667</v>
      </c>
      <c r="D20">
        <f>IF(накопительные!D20 = 0, 0,(накопительные!D20/SUM(накопительные!D$2:D$34))^$B$39)</f>
        <v>1191.9999999999998</v>
      </c>
      <c r="E20">
        <f>IF(накопительные!E20 = 0, 0,(накопительные!E20/SUM(накопительные!E$2:E$34))^$B$39)</f>
        <v>1594.5</v>
      </c>
      <c r="F20">
        <f>IF(накопительные!F20 = 0, 0,(накопительные!F20/SUM(накопительные!F$2:F$34))^$B$39)</f>
        <v>1233.3846153846155</v>
      </c>
      <c r="G20">
        <f>IF(накопительные!G20 = 0, 0,(накопительные!G20/SUM(накопительные!G$2:G$34))^$B$39)</f>
        <v>204.82795698924735</v>
      </c>
      <c r="H20">
        <f>IF(накопительные!H20 = 0, 0,(накопительные!H20/SUM(накопительные!H$2:H$34))^$B$39)</f>
        <v>232.66666666666671</v>
      </c>
      <c r="I20">
        <f>IF(накопительные!I20 = 0, 0,(накопительные!I20/SUM(накопительные!I$2:I$34))^$B$39)</f>
        <v>191.01626016260164</v>
      </c>
      <c r="J20">
        <f>IF(накопительные!J20 = 0, 0,(накопительные!J20/SUM(накопительные!J$2:J$34))^$B$39)</f>
        <v>216.91869918699186</v>
      </c>
      <c r="K20">
        <f>IF(накопительные!K20 = 0, 0,(накопительные!K20/SUM(накопительные!K$2:K$34))^$B$39)</f>
        <v>257.48780487804885</v>
      </c>
      <c r="L20">
        <f>IF(накопительные!L20 = 0, 0,(накопительные!L20/SUM(накопительные!L$2:L$34))^$B$39)</f>
        <v>288.05691056910575</v>
      </c>
      <c r="M20">
        <f>IF(накопительные!M20 = 0, 0,(накопительные!M20/SUM(накопительные!M$2:M$34))^$B$39)</f>
        <v>286.96376811594206</v>
      </c>
      <c r="N20">
        <f>IF(накопительные!N20 = 0, 0,(накопительные!N20/SUM(накопительные!N$2:N$34))^$B$39)</f>
        <v>306.81884057971013</v>
      </c>
      <c r="O20">
        <f>IF(накопительные!O20 = 0, 0,(накопительные!O20/SUM(накопительные!O$2:O$34))^$B$39)</f>
        <v>320.06081081081078</v>
      </c>
      <c r="P20">
        <f>IF(накопительные!P20 = 0, 0,(накопительные!P20/SUM(накопительные!P$2:P$34))^$B$39)</f>
        <v>334.04575163398698</v>
      </c>
      <c r="Q20">
        <f>IF(накопительные!Q20 = 0, 0,(накопительные!Q20/SUM(накопительные!Q$2:Q$34))^$B$39)</f>
        <v>338.8282208588958</v>
      </c>
      <c r="R20">
        <f>IF(накопительные!R20 = 0, 0,(накопительные!R20/SUM(накопительные!R$2:R$34))^$B$39)</f>
        <v>377.39263803680979</v>
      </c>
      <c r="S20">
        <f>IF(накопительные!S20 = 0, 0,(накопительные!S20/SUM(накопительные!S$2:S$34))^$B$39)</f>
        <v>391.04294478527595</v>
      </c>
      <c r="T20">
        <f>IF(накопительные!T20 = 0, 0,(накопительные!T20/SUM(накопительные!T$2:T$34))^$B$39)</f>
        <v>404.64417177914095</v>
      </c>
    </row>
    <row r="21" spans="1:20" x14ac:dyDescent="0.25">
      <c r="A21" t="s">
        <v>39</v>
      </c>
      <c r="B21">
        <f>IF(накопительные!B21 = 0, 0,(накопительные!B21/SUM(накопительные!B$2:B$34))^$B$39)</f>
        <v>59.20000000000001</v>
      </c>
      <c r="C21">
        <f>IF(накопительные!C21 = 0, 0,(накопительные!C21/SUM(накопительные!C$2:C$34))^$B$39)</f>
        <v>89.199999999999989</v>
      </c>
      <c r="D21">
        <f>IF(накопительные!D21 = 0, 0,(накопительные!D21/SUM(накопительные!D$2:D$34))^$B$39)</f>
        <v>31.786666666666662</v>
      </c>
      <c r="E21">
        <f>IF(накопительные!E21 = 0, 0,(накопительные!E21/SUM(накопительные!E$2:E$34))^$B$39)</f>
        <v>35.43333333333333</v>
      </c>
      <c r="F21">
        <f>IF(накопительные!F21 = 0, 0,(накопительные!F21/SUM(накопительные!F$2:F$34))^$B$39)</f>
        <v>32.722448979591839</v>
      </c>
      <c r="G21">
        <f>IF(накопительные!G21 = 0, 0,(накопительные!G21/SUM(накопительные!G$2:G$34))^$B$39)</f>
        <v>34.016071428571429</v>
      </c>
      <c r="H21">
        <f>IF(накопительные!H21 = 0, 0,(накопительные!H21/SUM(накопительные!H$2:H$34))^$B$39)</f>
        <v>36.366386554621855</v>
      </c>
      <c r="I21">
        <f>IF(накопительные!I21 = 0, 0,(накопительные!I21/SUM(накопительные!I$2:I$34))^$B$39)</f>
        <v>39.289297658862878</v>
      </c>
      <c r="J21">
        <f>IF(накопительные!J21 = 0, 0,(накопительные!J21/SUM(накопительные!J$2:J$34))^$B$39)</f>
        <v>38.780523255813954</v>
      </c>
      <c r="K21">
        <f>IF(накопительные!K21 = 0, 0,(накопительные!K21/SUM(накопительные!K$2:K$34))^$B$39)</f>
        <v>45.373925501432673</v>
      </c>
      <c r="L21">
        <f>IF(накопительные!L21 = 0, 0,(накопительные!L21/SUM(накопительные!L$2:L$34))^$B$39)</f>
        <v>50.399715504978666</v>
      </c>
      <c r="M21">
        <f>IF(накопительные!M21 = 0, 0,(накопительные!M21/SUM(накопительные!M$2:M$34))^$B$39)</f>
        <v>56.331436699857747</v>
      </c>
      <c r="N21">
        <f>IF(накопительные!N21 = 0, 0,(накопительные!N21/SUM(накопительные!N$2:N$34))^$B$39)</f>
        <v>60.229018492176365</v>
      </c>
      <c r="O21">
        <f>IF(накопительные!O21 = 0, 0,(накопительные!O21/SUM(накопительные!O$2:O$34))^$B$39)</f>
        <v>62.90703851261619</v>
      </c>
      <c r="P21">
        <f>IF(накопительные!P21 = 0, 0,(накопительные!P21/SUM(накопительные!P$2:P$34))^$B$39)</f>
        <v>62.10085054678008</v>
      </c>
      <c r="Q21">
        <f>IF(накопительные!Q21 = 0, 0,(накопительные!Q21/SUM(накопительные!Q$2:Q$34))^$B$39)</f>
        <v>61.161683277962354</v>
      </c>
      <c r="R21">
        <f>IF(накопительные!R21 = 0, 0,(накопительные!R21/SUM(накопительные!R$2:R$34))^$B$39)</f>
        <v>61.331006979062806</v>
      </c>
      <c r="S21">
        <f>IF(накопительные!S21 = 0, 0,(накопительные!S21/SUM(накопительные!S$2:S$34))^$B$39)</f>
        <v>61.112176414189818</v>
      </c>
      <c r="T21">
        <f>IF(накопительные!T21 = 0, 0,(накопительные!T21/SUM(накопительные!T$2:T$34))^$B$39)</f>
        <v>56.712811693895077</v>
      </c>
    </row>
    <row r="22" spans="1:20" x14ac:dyDescent="0.25">
      <c r="A22" t="s">
        <v>40</v>
      </c>
      <c r="B22">
        <f>IF(накопительные!B22 = 0, 0,(накопительные!B22/SUM(накопительные!B$2:B$34))^$B$39)</f>
        <v>0</v>
      </c>
      <c r="C22">
        <f>IF(накопительные!C22 = 0, 0,(накопительные!C22/SUM(накопительные!C$2:C$34))^$B$39)</f>
        <v>0</v>
      </c>
      <c r="D22">
        <f>IF(накопительные!D22 = 0, 0,(накопительные!D22/SUM(накопительные!D$2:D$34))^$B$39)</f>
        <v>0</v>
      </c>
      <c r="E22">
        <f>IF(накопительные!E22 = 0, 0,(накопительные!E22/SUM(накопительные!E$2:E$34))^$B$39)</f>
        <v>0</v>
      </c>
      <c r="F22">
        <f>IF(накопительные!F22 = 0, 0,(накопительные!F22/SUM(накопительные!F$2:F$34))^$B$39)</f>
        <v>8016.9999999999991</v>
      </c>
      <c r="G22">
        <f>IF(накопительные!G22 = 0, 0,(накопительные!G22/SUM(накопительные!G$2:G$34))^$B$39)</f>
        <v>2721.2857142857147</v>
      </c>
      <c r="H22">
        <f>IF(накопительные!H22 = 0, 0,(накопительные!H22/SUM(накопительные!H$2:H$34))^$B$39)</f>
        <v>801.4074074074075</v>
      </c>
      <c r="I22">
        <f>IF(накопительные!I22 = 0, 0,(накопительные!I22/SUM(накопительные!I$2:I$34))^$B$39)</f>
        <v>870.18518518518533</v>
      </c>
      <c r="J22">
        <f>IF(накопительные!J22 = 0, 0,(накопительные!J22/SUM(накопительные!J$2:J$34))^$B$39)</f>
        <v>306.67816091954023</v>
      </c>
      <c r="K22">
        <f>IF(накопительные!K22 = 0, 0,(накопительные!K22/SUM(накопительные!K$2:K$34))^$B$39)</f>
        <v>364.03448275862075</v>
      </c>
      <c r="L22">
        <f>IF(накопительные!L22 = 0, 0,(накопительные!L22/SUM(накопительные!L$2:L$34))^$B$39)</f>
        <v>407.25287356321849</v>
      </c>
      <c r="M22">
        <f>IF(накопительные!M22 = 0, 0,(накопительные!M22/SUM(накопительные!M$2:M$34))^$B$39)</f>
        <v>455.18390804597703</v>
      </c>
      <c r="N22">
        <f>IF(накопительные!N22 = 0, 0,(накопительные!N22/SUM(накопительные!N$2:N$34))^$B$39)</f>
        <v>486.67816091954012</v>
      </c>
      <c r="O22">
        <f>IF(накопительные!O22 = 0, 0,(накопительные!O22/SUM(накопительные!O$2:O$34))^$B$39)</f>
        <v>544.47126436781605</v>
      </c>
      <c r="P22">
        <f>IF(накопительные!P22 = 0, 0,(накопительные!P22/SUM(накопительные!P$2:P$34))^$B$39)</f>
        <v>587.45977011494267</v>
      </c>
      <c r="Q22">
        <f>IF(накопительные!Q22 = 0, 0,(накопительные!Q22/SUM(накопительные!Q$2:Q$34))^$B$39)</f>
        <v>634.81609195402325</v>
      </c>
      <c r="R22">
        <f>IF(накопительные!R22 = 0, 0,(накопительные!R22/SUM(накопительные!R$2:R$34))^$B$39)</f>
        <v>707.06896551724128</v>
      </c>
      <c r="S22">
        <f>IF(накопительные!S22 = 0, 0,(накопительные!S22/SUM(накопительные!S$2:S$34))^$B$39)</f>
        <v>732.64367816091942</v>
      </c>
      <c r="T22">
        <f>IF(накопительные!T22 = 0, 0,(накопительные!T22/SUM(накопительные!T$2:T$34))^$B$39)</f>
        <v>758.12643678160896</v>
      </c>
    </row>
    <row r="23" spans="1:20" x14ac:dyDescent="0.25">
      <c r="A23" t="s">
        <v>41</v>
      </c>
      <c r="B23">
        <f>IF(накопительные!B23 = 0, 0,(накопительные!B23/SUM(накопительные!B$2:B$34))^$B$39)</f>
        <v>0</v>
      </c>
      <c r="C23">
        <f>IF(накопительные!C23 = 0, 0,(накопительные!C23/SUM(накопительные!C$2:C$34))^$B$39)</f>
        <v>178.39999999999998</v>
      </c>
      <c r="D23">
        <f>IF(накопительные!D23 = 0, 0,(накопительные!D23/SUM(накопительные!D$2:D$34))^$B$39)</f>
        <v>158.93333333333328</v>
      </c>
      <c r="E23">
        <f>IF(накопительные!E23 = 0, 0,(накопительные!E23/SUM(накопительные!E$2:E$34))^$B$39)</f>
        <v>106.29999999999998</v>
      </c>
      <c r="F23">
        <f>IF(накопительные!F23 = 0, 0,(накопительные!F23/SUM(накопительные!F$2:F$34))^$B$39)</f>
        <v>133.61666666666665</v>
      </c>
      <c r="G23">
        <f>IF(накопительные!G23 = 0, 0,(накопительные!G23/SUM(накопительные!G$2:G$34))^$B$39)</f>
        <v>146.53076923076924</v>
      </c>
      <c r="H23">
        <f>IF(накопительные!H23 = 0, 0,(накопительные!H23/SUM(накопительные!H$2:H$34))^$B$39)</f>
        <v>144.25333333333336</v>
      </c>
      <c r="I23">
        <f>IF(накопительные!I23 = 0, 0,(накопительные!I23/SUM(накопительные!I$2:I$34))^$B$39)</f>
        <v>146.84375</v>
      </c>
      <c r="J23">
        <f>IF(накопительные!J23 = 0, 0,(накопительные!J23/SUM(накопительные!J$2:J$34))^$B$39)</f>
        <v>163.68711656441712</v>
      </c>
      <c r="K23">
        <f>IF(накопительные!K23 = 0, 0,(накопительные!K23/SUM(накопительные!K$2:K$34))^$B$39)</f>
        <v>194.30061349693253</v>
      </c>
      <c r="L23">
        <f>IF(накопительные!L23 = 0, 0,(накопительные!L23/SUM(накопительные!L$2:L$34))^$B$39)</f>
        <v>217.36809815950917</v>
      </c>
      <c r="M23">
        <f>IF(накопительные!M23 = 0, 0,(накопительные!M23/SUM(накопительные!M$2:M$34))^$B$39)</f>
        <v>242.95092024539869</v>
      </c>
      <c r="N23">
        <f>IF(накопительные!N23 = 0, 0,(накопительные!N23/SUM(накопительные!N$2:N$34))^$B$39)</f>
        <v>259.76073619631893</v>
      </c>
      <c r="O23">
        <f>IF(накопительные!O23 = 0, 0,(накопительные!O23/SUM(накопительные!O$2:O$34))^$B$39)</f>
        <v>290.6073619631901</v>
      </c>
      <c r="P23">
        <f>IF(накопительные!P23 = 0, 0,(накопительные!P23/SUM(накопительные!P$2:P$34))^$B$39)</f>
        <v>313.55214723926377</v>
      </c>
      <c r="Q23">
        <f>IF(накопительные!Q23 = 0, 0,(накопительные!Q23/SUM(накопительные!Q$2:Q$34))^$B$39)</f>
        <v>338.82822085889575</v>
      </c>
      <c r="R23">
        <f>IF(накопительные!R23 = 0, 0,(накопительные!R23/SUM(накопительные!R$2:R$34))^$B$39)</f>
        <v>377.39263803680973</v>
      </c>
      <c r="S23">
        <f>IF(накопительные!S23 = 0, 0,(накопительные!S23/SUM(накопительные!S$2:S$34))^$B$39)</f>
        <v>391.04294478527589</v>
      </c>
      <c r="T23">
        <f>IF(накопительные!T23 = 0, 0,(накопительные!T23/SUM(накопительные!T$2:T$34))^$B$39)</f>
        <v>341.74611398963714</v>
      </c>
    </row>
    <row r="24" spans="1:20" x14ac:dyDescent="0.25">
      <c r="A24" t="s">
        <v>42</v>
      </c>
      <c r="B24">
        <f>IF(накопительные!B24 = 0, 0,(накопительные!B24/SUM(накопительные!B$2:B$34))^$B$39)</f>
        <v>0</v>
      </c>
      <c r="C24">
        <f>IF(накопительные!C24 = 0, 0,(накопительные!C24/SUM(накопительные!C$2:C$34))^$B$39)</f>
        <v>0</v>
      </c>
      <c r="D24">
        <f>IF(накопительные!D24 = 0, 0,(накопительные!D24/SUM(накопительные!D$2:D$34))^$B$39)</f>
        <v>0</v>
      </c>
      <c r="E24">
        <f>IF(накопительные!E24 = 0, 0,(накопительные!E24/SUM(накопительные!E$2:E$34))^$B$39)</f>
        <v>0</v>
      </c>
      <c r="F24">
        <f>IF(накопительные!F24 = 0, 0,(накопительные!F24/SUM(накопительные!F$2:F$34))^$B$39)</f>
        <v>38.17619047619047</v>
      </c>
      <c r="G24">
        <f>IF(накопительные!G24 = 0, 0,(накопительные!G24/SUM(накопительные!G$2:G$34))^$B$39)</f>
        <v>20.264893617021279</v>
      </c>
      <c r="H24">
        <f>IF(накопительные!H24 = 0, 0,(накопительные!H24/SUM(накопительные!H$2:H$34))^$B$39)</f>
        <v>23.019148936170218</v>
      </c>
      <c r="I24">
        <f>IF(накопительные!I24 = 0, 0,(накопительные!I24/SUM(накопительные!I$2:I$34))^$B$39)</f>
        <v>14.964968152866245</v>
      </c>
      <c r="J24">
        <f>IF(накопительные!J24 = 0, 0,(накопительные!J24/SUM(накопительные!J$2:J$34))^$B$39)</f>
        <v>16.07289156626506</v>
      </c>
      <c r="K24">
        <f>IF(накопительные!K24 = 0, 0,(накопительные!K24/SUM(накопительные!K$2:K$34))^$B$39)</f>
        <v>19.078915662650612</v>
      </c>
      <c r="L24">
        <f>IF(накопительные!L24 = 0, 0,(накопительные!L24/SUM(накопительные!L$2:L$34))^$B$39)</f>
        <v>21.343975903614464</v>
      </c>
      <c r="M24">
        <f>IF(накопительные!M24 = 0, 0,(накопительные!M24/SUM(накопительные!M$2:M$34))^$B$39)</f>
        <v>23.856024096385543</v>
      </c>
      <c r="N24">
        <f>IF(накопительные!N24 = 0, 0,(накопительные!N24/SUM(накопительные!N$2:N$34))^$B$39)</f>
        <v>25.506626506024094</v>
      </c>
      <c r="O24">
        <f>IF(накопительные!O24 = 0, 0,(накопительные!O24/SUM(накопительные!O$2:O$34))^$B$39)</f>
        <v>28.535542168674695</v>
      </c>
      <c r="P24">
        <f>IF(накопительные!P24 = 0, 0,(накопительные!P24/SUM(накопительные!P$2:P$34))^$B$39)</f>
        <v>30.788554216867482</v>
      </c>
      <c r="Q24">
        <f>IF(накопительные!Q24 = 0, 0,(накопительные!Q24/SUM(накопительные!Q$2:Q$34))^$B$39)</f>
        <v>33.270481927710861</v>
      </c>
      <c r="R24">
        <f>IF(накопительные!R24 = 0, 0,(накопительные!R24/SUM(накопительные!R$2:R$34))^$B$39)</f>
        <v>36.399408284023671</v>
      </c>
      <c r="S24">
        <f>IF(накопительные!S24 = 0, 0,(накопительные!S24/SUM(накопительные!S$2:S$34))^$B$39)</f>
        <v>37.715976331360942</v>
      </c>
      <c r="T24">
        <f>IF(накопительные!T24 = 0, 0,(накопительные!T24/SUM(накопительные!T$2:T$34))^$B$39)</f>
        <v>39.027810650887567</v>
      </c>
    </row>
    <row r="25" spans="1:20" x14ac:dyDescent="0.25">
      <c r="A25" t="s">
        <v>43</v>
      </c>
      <c r="B25">
        <f>IF(накопительные!B25 = 0, 0,(накопительные!B25/SUM(накопительные!B$2:B$34))^$B$39)</f>
        <v>355.2</v>
      </c>
      <c r="C25">
        <f>IF(накопительные!C25 = 0, 0,(накопительные!C25/SUM(накопительные!C$2:C$34))^$B$39)</f>
        <v>129.74545454545455</v>
      </c>
      <c r="D25">
        <f>IF(накопительные!D25 = 0, 0,(накопительные!D25/SUM(накопительные!D$2:D$34))^$B$39)</f>
        <v>90.819047619047609</v>
      </c>
      <c r="E25">
        <f>IF(накопительные!E25 = 0, 0,(накопительные!E25/SUM(накопительные!E$2:E$34))^$B$39)</f>
        <v>110.92173913043476</v>
      </c>
      <c r="F25">
        <f>IF(накопительные!F25 = 0, 0,(накопительные!F25/SUM(накопительные!F$2:F$34))^$B$39)</f>
        <v>133.61666666666665</v>
      </c>
      <c r="G25">
        <f>IF(накопительные!G25 = 0, 0,(накопительные!G25/SUM(накопительные!G$2:G$34))^$B$39)</f>
        <v>146.53076923076924</v>
      </c>
      <c r="H25">
        <f>IF(накопительные!H25 = 0, 0,(накопительные!H25/SUM(накопительные!H$2:H$34))^$B$39)</f>
        <v>166.44615384615386</v>
      </c>
      <c r="I25">
        <f>IF(накопительные!I25 = 0, 0,(накопительные!I25/SUM(накопительные!I$2:I$34))^$B$39)</f>
        <v>180.73076923076923</v>
      </c>
      <c r="J25">
        <f>IF(накопительные!J25 = 0, 0,(накопительные!J25/SUM(накопительные!J$2:J$34))^$B$39)</f>
        <v>177.87333333333331</v>
      </c>
      <c r="K25">
        <f>IF(накопительные!K25 = 0, 0,(накопительные!K25/SUM(накопительные!K$2:K$34))^$B$39)</f>
        <v>211.14000000000001</v>
      </c>
      <c r="L25">
        <f>IF(накопительные!L25 = 0, 0,(накопительные!L25/SUM(накопительные!L$2:L$34))^$B$39)</f>
        <v>236.20666666666665</v>
      </c>
      <c r="M25">
        <f>IF(накопительные!M25 = 0, 0,(накопительные!M25/SUM(накопительные!M$2:M$34))^$B$39)</f>
        <v>264.0066666666666</v>
      </c>
      <c r="N25">
        <f>IF(накопительные!N25 = 0, 0,(накопительные!N25/SUM(накопительные!N$2:N$34))^$B$39)</f>
        <v>282.2733333333332</v>
      </c>
      <c r="O25">
        <f>IF(накопительные!O25 = 0, 0,(накопительные!O25/SUM(накопительные!O$2:O$34))^$B$39)</f>
        <v>315.79333333333324</v>
      </c>
      <c r="P25">
        <f>IF(накопительные!P25 = 0, 0,(накопительные!P25/SUM(накопительные!P$2:P$34))^$B$39)</f>
        <v>340.72666666666669</v>
      </c>
      <c r="Q25">
        <f>IF(накопительные!Q25 = 0, 0,(накопительные!Q25/SUM(накопительные!Q$2:Q$34))^$B$39)</f>
        <v>368.19333333333338</v>
      </c>
      <c r="R25">
        <f>IF(накопительные!R25 = 0, 0,(накопительные!R25/SUM(накопительные!R$2:R$34))^$B$39)</f>
        <v>410.09999999999991</v>
      </c>
      <c r="S25">
        <f>IF(накопительные!S25 = 0, 0,(накопительные!S25/SUM(накопительные!S$2:S$34))^$B$39)</f>
        <v>424.93333333333317</v>
      </c>
      <c r="T25">
        <f>IF(накопительные!T25 = 0, 0,(накопительные!T25/SUM(накопительные!T$2:T$34))^$B$39)</f>
        <v>439.7133333333332</v>
      </c>
    </row>
    <row r="26" spans="1:20" x14ac:dyDescent="0.25">
      <c r="A26" t="s">
        <v>44</v>
      </c>
      <c r="B26">
        <f>IF(накопительные!B26 = 0, 0,(накопительные!B26/SUM(накопительные!B$2:B$34))^$B$39)</f>
        <v>7.104000000000001</v>
      </c>
      <c r="C26">
        <f>IF(накопительные!C26 = 0, 0,(накопительные!C26/SUM(накопительные!C$2:C$34))^$B$39)</f>
        <v>19.286486486486485</v>
      </c>
      <c r="D26">
        <f>IF(накопительные!D26 = 0, 0,(накопительные!D26/SUM(накопительные!D$2:D$34))^$B$39)</f>
        <v>19.461224489795914</v>
      </c>
      <c r="E26">
        <f>IF(накопительные!E26 = 0, 0,(накопительные!E26/SUM(накопительные!E$2:E$34))^$B$39)</f>
        <v>20.247619047619047</v>
      </c>
      <c r="F26">
        <f>IF(накопительные!F26 = 0, 0,(накопительные!F26/SUM(накопительные!F$2:F$34))^$B$39)</f>
        <v>13.035772357723575</v>
      </c>
      <c r="G26">
        <f>IF(накопительные!G26 = 0, 0,(накопительные!G26/SUM(накопительные!G$2:G$34))^$B$39)</f>
        <v>10.466483516483517</v>
      </c>
      <c r="H26">
        <f>IF(накопительные!H26 = 0, 0,(накопительные!H26/SUM(накопительные!H$2:H$34))^$B$39)</f>
        <v>11.211398963730572</v>
      </c>
      <c r="I26">
        <f>IF(накопительные!I26 = 0, 0,(накопительные!I26/SUM(накопительные!I$2:I$34))^$B$39)</f>
        <v>11.896202531645571</v>
      </c>
      <c r="J26">
        <f>IF(накопительные!J26 = 0, 0,(накопительные!J26/SUM(накопительные!J$2:J$34))^$B$39)</f>
        <v>11.002474226804123</v>
      </c>
      <c r="K26">
        <f>IF(накопительные!K26 = 0, 0,(накопительные!K26/SUM(накопительные!K$2:K$34))^$B$39)</f>
        <v>11.708317929759707</v>
      </c>
      <c r="L26">
        <f>IF(накопительные!L26 = 0, 0,(накопительные!L26/SUM(накопительные!L$2:L$34))^$B$39)</f>
        <v>13.09833641404806</v>
      </c>
      <c r="M26">
        <f>IF(накопительные!M26 = 0, 0,(накопительные!M26/SUM(накопительные!M$2:M$34))^$B$39)</f>
        <v>14.639926062846577</v>
      </c>
      <c r="N26">
        <f>IF(накопительные!N26 = 0, 0,(накопительные!N26/SUM(накопительные!N$2:N$34))^$B$39)</f>
        <v>10.954980595084084</v>
      </c>
      <c r="O26">
        <f>IF(накопительные!O26 = 0, 0,(накопительные!O26/SUM(накопительные!O$2:O$34))^$B$39)</f>
        <v>10.68072153325817</v>
      </c>
      <c r="P26">
        <f>IF(накопительные!P26 = 0, 0,(накопительные!P26/SUM(накопительные!P$2:P$34))^$B$39)</f>
        <v>8.0677190213101824</v>
      </c>
      <c r="Q26">
        <f>IF(накопительные!Q26 = 0, 0,(накопительные!Q26/SUM(накопительные!Q$2:Q$34))^$B$39)</f>
        <v>6.07914144193726</v>
      </c>
      <c r="R26">
        <f>IF(накопительные!R26 = 0, 0,(накопительные!R26/SUM(накопительные!R$2:R$34))^$B$39)</f>
        <v>4.7520278099652371</v>
      </c>
      <c r="S26">
        <f>IF(накопительные!S26 = 0, 0,(накопительные!S26/SUM(накопительные!S$2:S$34))^$B$39)</f>
        <v>4.5757358219669761</v>
      </c>
      <c r="T26">
        <f>IF(накопительные!T26 = 0, 0,(накопительные!T26/SUM(накопительные!T$2:T$34))^$B$39)</f>
        <v>4.5052595628415286</v>
      </c>
    </row>
    <row r="27" spans="1:20" x14ac:dyDescent="0.25">
      <c r="A27" t="s">
        <v>45</v>
      </c>
      <c r="B27">
        <f>IF(накопительные!B27 = 0, 0,(накопительные!B27/SUM(накопительные!B$2:B$34))^$B$39)</f>
        <v>0</v>
      </c>
      <c r="C27">
        <f>IF(накопительные!C27 = 0, 0,(накопительные!C27/SUM(накопительные!C$2:C$34))^$B$39)</f>
        <v>0</v>
      </c>
      <c r="D27">
        <f>IF(накопительные!D27 = 0, 0,(накопительные!D27/SUM(накопительные!D$2:D$34))^$B$39)</f>
        <v>0</v>
      </c>
      <c r="E27">
        <f>IF(накопительные!E27 = 0, 0,(накопительные!E27/SUM(накопительные!E$2:E$34))^$B$39)</f>
        <v>0</v>
      </c>
      <c r="F27">
        <f>IF(накопительные!F27 = 0, 0,(накопительные!F27/SUM(накопительные!F$2:F$34))^$B$39)</f>
        <v>320.68</v>
      </c>
      <c r="G27">
        <f>IF(накопительные!G27 = 0, 0,(накопительные!G27/SUM(накопительные!G$2:G$34))^$B$39)</f>
        <v>165.64347826086961</v>
      </c>
      <c r="H27">
        <f>IF(накопительные!H27 = 0, 0,(накопительные!H27/SUM(накопительные!H$2:H$34))^$B$39)</f>
        <v>88.318367346938786</v>
      </c>
      <c r="I27">
        <f>IF(накопительные!I27 = 0, 0,(накопительные!I27/SUM(накопительные!I$2:I$34))^$B$39)</f>
        <v>95.897959183673478</v>
      </c>
      <c r="J27">
        <f>IF(накопительные!J27 = 0, 0,(накопительные!J27/SUM(накопительные!J$2:J$34))^$B$39)</f>
        <v>90.44406779661017</v>
      </c>
      <c r="K27">
        <f>IF(накопительные!K27 = 0, 0,(накопительные!K27/SUM(накопительные!K$2:K$34))^$B$39)</f>
        <v>107.35932203389834</v>
      </c>
      <c r="L27">
        <f>IF(накопительные!L27 = 0, 0,(накопительные!L27/SUM(накопительные!L$2:L$34))^$B$39)</f>
        <v>109.01846153846157</v>
      </c>
      <c r="M27">
        <f>IF(накопительные!M27 = 0, 0,(накопительные!M27/SUM(накопительные!M$2:M$34))^$B$39)</f>
        <v>55.386013986013985</v>
      </c>
      <c r="N27">
        <f>IF(накопительные!N27 = 0, 0,(накопительные!N27/SUM(накопительные!N$2:N$34))^$B$39)</f>
        <v>43.87668393782382</v>
      </c>
      <c r="O27">
        <f>IF(накопительные!O27 = 0, 0,(накопительные!O27/SUM(накопительные!O$2:O$34))^$B$39)</f>
        <v>45.329186602870806</v>
      </c>
      <c r="P27">
        <f>IF(накопительные!P27 = 0, 0,(накопительные!P27/SUM(накопительные!P$2:P$34))^$B$39)</f>
        <v>48.908133971291875</v>
      </c>
      <c r="Q27">
        <f>IF(накопительные!Q27 = 0, 0,(накопительные!Q27/SUM(накопительные!Q$2:Q$34))^$B$39)</f>
        <v>52.850717703349297</v>
      </c>
      <c r="R27">
        <f>IF(накопительные!R27 = 0, 0,(накопительные!R27/SUM(накопительные!R$2:R$34))^$B$39)</f>
        <v>54.679999999999993</v>
      </c>
      <c r="S27">
        <f>IF(накопительные!S27 = 0, 0,(накопительные!S27/SUM(накопительные!S$2:S$34))^$B$39)</f>
        <v>54.712446351931305</v>
      </c>
      <c r="T27">
        <f>IF(накопительные!T27 = 0, 0,(накопительные!T27/SUM(накопительные!T$2:T$34))^$B$39)</f>
        <v>51.730980392156837</v>
      </c>
    </row>
    <row r="28" spans="1:20" x14ac:dyDescent="0.25">
      <c r="A28" t="s">
        <v>46</v>
      </c>
      <c r="B28">
        <f>IF(накопительные!B28 = 0, 0,(накопительные!B28/SUM(накопительные!B$2:B$34))^$B$39)</f>
        <v>0</v>
      </c>
      <c r="C28">
        <f>IF(накопительные!C28 = 0, 0,(накопительные!C28/SUM(накопительные!C$2:C$34))^$B$39)</f>
        <v>0</v>
      </c>
      <c r="D28">
        <f>IF(накопительные!D28 = 0, 0,(накопительные!D28/SUM(накопительные!D$2:D$34))^$B$39)</f>
        <v>0</v>
      </c>
      <c r="E28">
        <f>IF(накопительные!E28 = 0, 0,(накопительные!E28/SUM(накопительные!E$2:E$34))^$B$39)</f>
        <v>0</v>
      </c>
      <c r="F28">
        <f>IF(накопительные!F28 = 0, 0,(накопительные!F28/SUM(накопительные!F$2:F$34))^$B$39)</f>
        <v>0</v>
      </c>
      <c r="G28">
        <f>IF(накопительные!G28 = 0, 0,(накопительные!G28/SUM(накопительные!G$2:G$34))^$B$39)</f>
        <v>3809.8000000000006</v>
      </c>
      <c r="H28">
        <f>IF(накопительные!H28 = 0, 0,(накопительные!H28/SUM(накопительные!H$2:H$34))^$B$39)</f>
        <v>1442.5333333333333</v>
      </c>
      <c r="I28">
        <f>IF(накопительные!I28 = 0, 0,(накопительные!I28/SUM(накопительные!I$2:I$34))^$B$39)</f>
        <v>1566.3333333333333</v>
      </c>
      <c r="J28">
        <f>IF(накопительные!J28 = 0, 0,(накопительные!J28/SUM(накопительные!J$2:J$34))^$B$39)</f>
        <v>1778.7333333333331</v>
      </c>
      <c r="K28">
        <f>IF(накопительные!K28 = 0, 0,(накопительные!K28/SUM(накопительные!K$2:K$34))^$B$39)</f>
        <v>2111.4</v>
      </c>
      <c r="L28">
        <f>IF(накопительные!L28 = 0, 0,(накопительные!L28/SUM(накопительные!L$2:L$34))^$B$39)</f>
        <v>2362.0666666666671</v>
      </c>
      <c r="M28">
        <f>IF(накопительные!M28 = 0, 0,(накопительные!M28/SUM(накопительные!M$2:M$34))^$B$39)</f>
        <v>2640.0666666666662</v>
      </c>
      <c r="N28">
        <f>IF(накопительные!N28 = 0, 0,(накопительные!N28/SUM(накопительные!N$2:N$34))^$B$39)</f>
        <v>2822.7333333333322</v>
      </c>
      <c r="O28">
        <f>IF(накопительные!O28 = 0, 0,(накопительные!O28/SUM(накопительные!O$2:O$34))^$B$39)</f>
        <v>3157.9333333333325</v>
      </c>
      <c r="P28">
        <f>IF(накопительные!P28 = 0, 0,(накопительные!P28/SUM(накопительные!P$2:P$34))^$B$39)</f>
        <v>3407.2666666666664</v>
      </c>
      <c r="Q28">
        <f>IF(накопительные!Q28 = 0, 0,(накопительные!Q28/SUM(накопительные!Q$2:Q$34))^$B$39)</f>
        <v>3681.9333333333338</v>
      </c>
      <c r="R28">
        <f>IF(накопительные!R28 = 0, 0,(накопительные!R28/SUM(накопительные!R$2:R$34))^$B$39)</f>
        <v>4100.9999999999991</v>
      </c>
      <c r="S28">
        <f>IF(накопительные!S28 = 0, 0,(накопительные!S28/SUM(накопительные!S$2:S$34))^$B$39)</f>
        <v>4249.3333333333321</v>
      </c>
      <c r="T28">
        <f>IF(накопительные!T28 = 0, 0,(накопительные!T28/SUM(накопительные!T$2:T$34))^$B$39)</f>
        <v>4397.1333333333314</v>
      </c>
    </row>
    <row r="29" spans="1:20" x14ac:dyDescent="0.25">
      <c r="A29" t="s">
        <v>47</v>
      </c>
      <c r="B29">
        <f>IF(накопительные!B29 = 0, 0,(накопительные!B29/SUM(накопительные!B$2:B$34))^$B$39)</f>
        <v>0</v>
      </c>
      <c r="C29">
        <f>IF(накопительные!C29 = 0, 0,(накопительные!C29/SUM(накопительные!C$2:C$34))^$B$39)</f>
        <v>0</v>
      </c>
      <c r="D29">
        <f>IF(накопительные!D29 = 0, 0,(накопительные!D29/SUM(накопительные!D$2:D$34))^$B$39)</f>
        <v>0</v>
      </c>
      <c r="E29">
        <f>IF(накопительные!E29 = 0, 0,(накопительные!E29/SUM(накопительные!E$2:E$34))^$B$39)</f>
        <v>0</v>
      </c>
      <c r="F29">
        <f>IF(накопительные!F29 = 0, 0,(накопительные!F29/SUM(накопительные!F$2:F$34))^$B$39)</f>
        <v>8016.9999999999991</v>
      </c>
      <c r="G29">
        <f>IF(накопительные!G29 = 0, 0,(накопительные!G29/SUM(накопительные!G$2:G$34))^$B$39)</f>
        <v>2721.2857142857147</v>
      </c>
      <c r="H29">
        <f>IF(накопительные!H29 = 0, 0,(накопительные!H29/SUM(накопительные!H$2:H$34))^$B$39)</f>
        <v>3091.1428571428578</v>
      </c>
      <c r="I29">
        <f>IF(накопительные!I29 = 0, 0,(накопительные!I29/SUM(накопительные!I$2:I$34))^$B$39)</f>
        <v>499.89361702127667</v>
      </c>
      <c r="J29">
        <f>IF(накопительные!J29 = 0, 0,(накопительные!J29/SUM(накопительные!J$2:J$34))^$B$39)</f>
        <v>567.68085106382978</v>
      </c>
      <c r="K29">
        <f>IF(накопительные!K29 = 0, 0,(накопительные!K29/SUM(накопительные!K$2:K$34))^$B$39)</f>
        <v>673.85106382978745</v>
      </c>
      <c r="L29">
        <f>IF(накопительные!L29 = 0, 0,(накопительные!L29/SUM(накопительные!L$2:L$34))^$B$39)</f>
        <v>753.85106382978734</v>
      </c>
      <c r="M29">
        <f>IF(накопительные!M29 = 0, 0,(накопительные!M29/SUM(накопительные!M$2:M$34))^$B$39)</f>
        <v>842.57446808510622</v>
      </c>
      <c r="N29">
        <f>IF(накопительные!N29 = 0, 0,(накопительные!N29/SUM(накопительные!N$2:N$34))^$B$39)</f>
        <v>900.87234042553166</v>
      </c>
      <c r="O29">
        <f>IF(накопительные!O29 = 0, 0,(накопительные!O29/SUM(накопительные!O$2:O$34))^$B$39)</f>
        <v>1007.851063829787</v>
      </c>
      <c r="P29">
        <f>IF(накопительные!P29 = 0, 0,(накопительные!P29/SUM(накопительные!P$2:P$34))^$B$39)</f>
        <v>1087.4255319148938</v>
      </c>
      <c r="Q29">
        <f>IF(накопительные!Q29 = 0, 0,(накопительные!Q29/SUM(накопительные!Q$2:Q$34))^$B$39)</f>
        <v>1175.0851063829791</v>
      </c>
      <c r="R29">
        <f>IF(накопительные!R29 = 0, 0,(накопительные!R29/SUM(накопительные!R$2:R$34))^$B$39)</f>
        <v>1308.8297872340424</v>
      </c>
      <c r="S29">
        <f>IF(накопительные!S29 = 0, 0,(накопительные!S29/SUM(накопительные!S$2:S$34))^$B$39)</f>
        <v>1356.1702127659571</v>
      </c>
      <c r="T29">
        <f>IF(накопительные!T29 = 0, 0,(накопительные!T29/SUM(накопительные!T$2:T$34))^$B$39)</f>
        <v>1403.3404255319144</v>
      </c>
    </row>
    <row r="30" spans="1:20" x14ac:dyDescent="0.25">
      <c r="A30" t="s">
        <v>48</v>
      </c>
      <c r="B30">
        <f>IF(накопительные!B30 = 0, 0,(накопительные!B30/SUM(накопительные!B$2:B$34))^$B$39)</f>
        <v>0</v>
      </c>
      <c r="C30">
        <f>IF(накопительные!C30 = 0, 0,(накопительные!C30/SUM(накопительные!C$2:C$34))^$B$39)</f>
        <v>237.86666666666667</v>
      </c>
      <c r="D30">
        <f>IF(накопительные!D30 = 0, 0,(накопительные!D30/SUM(накопительные!D$2:D$34))^$B$39)</f>
        <v>317.86666666666662</v>
      </c>
      <c r="E30">
        <f>IF(накопительные!E30 = 0, 0,(накопительные!E30/SUM(накопительные!E$2:E$34))^$B$39)</f>
        <v>127.55999999999999</v>
      </c>
      <c r="F30">
        <f>IF(накопительные!F30 = 0, 0,(накопительные!F30/SUM(накопительные!F$2:F$34))^$B$39)</f>
        <v>160.34</v>
      </c>
      <c r="G30">
        <f>IF(накопительные!G30 = 0, 0,(накопительные!G30/SUM(накопительные!G$2:G$34))^$B$39)</f>
        <v>190.49000000000004</v>
      </c>
      <c r="H30">
        <f>IF(накопительные!H30 = 0, 0,(накопительные!H30/SUM(накопительные!H$2:H$34))^$B$39)</f>
        <v>216.38000000000005</v>
      </c>
      <c r="I30">
        <f>IF(накопительные!I30 = 0, 0,(накопительные!I30/SUM(накопительные!I$2:I$34))^$B$39)</f>
        <v>234.95000000000007</v>
      </c>
      <c r="J30">
        <f>IF(накопительные!J30 = 0, 0,(накопительные!J30/SUM(накопительные!J$2:J$34))^$B$39)</f>
        <v>266.81</v>
      </c>
      <c r="K30">
        <f>IF(накопительные!K30 = 0, 0,(накопительные!K30/SUM(накопительные!K$2:K$34))^$B$39)</f>
        <v>316.71000000000009</v>
      </c>
      <c r="L30">
        <f>IF(накопительные!L30 = 0, 0,(накопительные!L30/SUM(накопительные!L$2:L$34))^$B$39)</f>
        <v>354.31000000000006</v>
      </c>
      <c r="M30">
        <f>IF(накопительные!M30 = 0, 0,(накопительные!M30/SUM(накопительные!M$2:M$34))^$B$39)</f>
        <v>396.01000000000005</v>
      </c>
      <c r="N30">
        <f>IF(накопительные!N30 = 0, 0,(накопительные!N30/SUM(накопительные!N$2:N$34))^$B$39)</f>
        <v>423.40999999999991</v>
      </c>
      <c r="O30">
        <f>IF(накопительные!O30 = 0, 0,(накопительные!O30/SUM(накопительные!O$2:O$34))^$B$39)</f>
        <v>473.68999999999988</v>
      </c>
      <c r="P30">
        <f>IF(накопительные!P30 = 0, 0,(накопительные!P30/SUM(накопительные!P$2:P$34))^$B$39)</f>
        <v>511.09000000000009</v>
      </c>
      <c r="Q30">
        <f>IF(накопительные!Q30 = 0, 0,(накопительные!Q30/SUM(накопительные!Q$2:Q$34))^$B$39)</f>
        <v>552.29000000000019</v>
      </c>
      <c r="R30">
        <f>IF(накопительные!R30 = 0, 0,(накопительные!R30/SUM(накопительные!R$2:R$34))^$B$39)</f>
        <v>615.15</v>
      </c>
      <c r="S30">
        <f>IF(накопительные!S30 = 0, 0,(накопительные!S30/SUM(накопительные!S$2:S$34))^$B$39)</f>
        <v>637.39999999999986</v>
      </c>
      <c r="T30">
        <f>IF(накопительные!T30 = 0, 0,(накопительные!T30/SUM(накопительные!T$2:T$34))^$B$39)</f>
        <v>659.56999999999982</v>
      </c>
    </row>
    <row r="31" spans="1:20" x14ac:dyDescent="0.25">
      <c r="A31" t="s">
        <v>49</v>
      </c>
      <c r="B31">
        <f>IF(накопительные!B31 = 0, 0,(накопительные!B31/SUM(накопительные!B$2:B$34))^$B$39)</f>
        <v>0</v>
      </c>
      <c r="C31">
        <f>IF(накопительные!C31 = 0, 0,(накопительные!C31/SUM(накопительные!C$2:C$34))^$B$39)</f>
        <v>0</v>
      </c>
      <c r="D31">
        <f>IF(накопительные!D31 = 0, 0,(накопительные!D31/SUM(накопительные!D$2:D$34))^$B$39)</f>
        <v>0</v>
      </c>
      <c r="E31">
        <f>IF(накопительные!E31 = 0, 0,(накопительные!E31/SUM(накопительные!E$2:E$34))^$B$39)</f>
        <v>0</v>
      </c>
      <c r="F31">
        <f>IF(накопительные!F31 = 0, 0,(накопительные!F31/SUM(накопительные!F$2:F$34))^$B$39)</f>
        <v>801.7</v>
      </c>
      <c r="G31">
        <f>IF(накопительные!G31 = 0, 0,(накопительные!G31/SUM(накопительные!G$2:G$34))^$B$39)</f>
        <v>272.12857142857149</v>
      </c>
      <c r="H31">
        <f>IF(накопительные!H31 = 0, 0,(накопительные!H31/SUM(накопительные!H$2:H$34))^$B$39)</f>
        <v>270.47500000000008</v>
      </c>
      <c r="I31">
        <f>IF(накопительные!I31 = 0, 0,(накопительные!I31/SUM(накопительные!I$2:I$34))^$B$39)</f>
        <v>293.68750000000006</v>
      </c>
      <c r="J31">
        <f>IF(накопительные!J31 = 0, 0,(накопительные!J31/SUM(накопительные!J$2:J$34))^$B$39)</f>
        <v>333.51250000000005</v>
      </c>
      <c r="K31">
        <f>IF(накопительные!K31 = 0, 0,(накопительные!K31/SUM(накопительные!K$2:K$34))^$B$39)</f>
        <v>395.88750000000016</v>
      </c>
      <c r="L31">
        <f>IF(накопительные!L31 = 0, 0,(накопительные!L31/SUM(накопительные!L$2:L$34))^$B$39)</f>
        <v>442.88750000000016</v>
      </c>
      <c r="M31">
        <f>IF(накопительные!M31 = 0, 0,(накопительные!M31/SUM(накопительные!M$2:M$34))^$B$39)</f>
        <v>495.01250000000005</v>
      </c>
      <c r="N31">
        <f>IF(накопительные!N31 = 0, 0,(накопительные!N31/SUM(накопительные!N$2:N$34))^$B$39)</f>
        <v>529.26249999999993</v>
      </c>
      <c r="O31">
        <f>IF(накопительные!O31 = 0, 0,(накопительные!O31/SUM(накопительные!O$2:O$34))^$B$39)</f>
        <v>592.11249999999995</v>
      </c>
      <c r="P31">
        <f>IF(накопительные!P31 = 0, 0,(накопительные!P31/SUM(накопительные!P$2:P$34))^$B$39)</f>
        <v>638.86250000000018</v>
      </c>
      <c r="Q31">
        <f>IF(накопительные!Q31 = 0, 0,(накопительные!Q31/SUM(накопительные!Q$2:Q$34))^$B$39)</f>
        <v>690.3625000000003</v>
      </c>
      <c r="R31">
        <f>IF(накопительные!R31 = 0, 0,(накопительные!R31/SUM(накопительные!R$2:R$34))^$B$39)</f>
        <v>768.9375</v>
      </c>
      <c r="S31">
        <f>IF(накопительные!S31 = 0, 0,(накопительные!S31/SUM(накопительные!S$2:S$34))^$B$39)</f>
        <v>796.74999999999989</v>
      </c>
      <c r="T31">
        <f>IF(накопительные!T31 = 0, 0,(накопительные!T31/SUM(накопительные!T$2:T$34))^$B$39)</f>
        <v>824.46249999999986</v>
      </c>
    </row>
    <row r="32" spans="1:20" x14ac:dyDescent="0.25">
      <c r="A32" t="s">
        <v>50</v>
      </c>
      <c r="B32">
        <f>IF(накопительные!B32 = 0, 0,(накопительные!B32/SUM(накопительные!B$2:B$34))^$B$39)</f>
        <v>0</v>
      </c>
      <c r="C32">
        <f>IF(накопительные!C32 = 0, 0,(накопительные!C32/SUM(накопительные!C$2:C$34))^$B$39)</f>
        <v>0</v>
      </c>
      <c r="D32">
        <f>IF(накопительные!D32 = 0, 0,(накопительные!D32/SUM(накопительные!D$2:D$34))^$B$39)</f>
        <v>0</v>
      </c>
      <c r="E32">
        <f>IF(накопительные!E32 = 0, 0,(накопительные!E32/SUM(накопительные!E$2:E$34))^$B$39)</f>
        <v>0</v>
      </c>
      <c r="F32">
        <f>IF(накопительные!F32 = 0, 0,(накопительные!F32/SUM(накопительные!F$2:F$34))^$B$39)</f>
        <v>0</v>
      </c>
      <c r="G32">
        <f>IF(накопительные!G32 = 0, 0,(накопительные!G32/SUM(накопительные!G$2:G$34))^$B$39)</f>
        <v>0</v>
      </c>
      <c r="H32">
        <f>IF(накопительные!H32 = 0, 0,(накопительные!H32/SUM(накопительные!H$2:H$34))^$B$39)</f>
        <v>0</v>
      </c>
      <c r="I32">
        <f>IF(накопительные!I32 = 0, 0,(накопительные!I32/SUM(накопительные!I$2:I$34))^$B$39)</f>
        <v>0</v>
      </c>
      <c r="J32">
        <f>IF(накопительные!J32 = 0, 0,(накопительные!J32/SUM(накопительные!J$2:J$34))^$B$39)</f>
        <v>0</v>
      </c>
      <c r="K32">
        <f>IF(накопительные!K32 = 0, 0,(накопительные!K32/SUM(накопительные!K$2:K$34))^$B$39)</f>
        <v>0</v>
      </c>
      <c r="L32">
        <f>IF(накопительные!L32 = 0, 0,(накопительные!L32/SUM(накопительные!L$2:L$34))^$B$39)</f>
        <v>0</v>
      </c>
      <c r="M32">
        <f>IF(накопительные!M32 = 0, 0,(накопительные!M32/SUM(накопительные!M$2:M$34))^$B$39)</f>
        <v>0</v>
      </c>
      <c r="N32">
        <f>IF(накопительные!N32 = 0, 0,(накопительные!N32/SUM(накопительные!N$2:N$34))^$B$39)</f>
        <v>0</v>
      </c>
      <c r="O32">
        <f>IF(накопительные!O32 = 0, 0,(накопительные!O32/SUM(накопительные!O$2:O$34))^$B$39)</f>
        <v>0</v>
      </c>
      <c r="P32">
        <f>IF(накопительные!P32 = 0, 0,(накопительные!P32/SUM(накопительные!P$2:P$34))^$B$39)</f>
        <v>2555.4500000000003</v>
      </c>
      <c r="Q32">
        <f>IF(накопительные!Q32 = 0, 0,(накопительные!Q32/SUM(накопительные!Q$2:Q$34))^$B$39)</f>
        <v>2761.4500000000007</v>
      </c>
      <c r="R32">
        <f>IF(накопительные!R32 = 0, 0,(накопительные!R32/SUM(накопительные!R$2:R$34))^$B$39)</f>
        <v>3075.7499999999995</v>
      </c>
      <c r="S32">
        <f>IF(накопительные!S32 = 0, 0,(накопительные!S32/SUM(накопительные!S$2:S$34))^$B$39)</f>
        <v>3186.9999999999991</v>
      </c>
      <c r="T32">
        <f>IF(накопительные!T32 = 0, 0,(накопительные!T32/SUM(накопительные!T$2:T$34))^$B$39)</f>
        <v>3297.8499999999985</v>
      </c>
    </row>
    <row r="33" spans="1:20" x14ac:dyDescent="0.25">
      <c r="A33" t="s">
        <v>51</v>
      </c>
      <c r="B33">
        <f>IF(накопительные!B33 = 0, 0,(накопительные!B33/SUM(накопительные!B$2:B$34))^$B$39)</f>
        <v>0</v>
      </c>
      <c r="C33">
        <f>IF(накопительные!C33 = 0, 0,(накопительные!C33/SUM(накопительные!C$2:C$34))^$B$39)</f>
        <v>0</v>
      </c>
      <c r="D33">
        <f>IF(накопительные!D33 = 0, 0,(накопительные!D33/SUM(накопительные!D$2:D$34))^$B$39)</f>
        <v>0</v>
      </c>
      <c r="E33">
        <f>IF(накопительные!E33 = 0, 0,(накопительные!E33/SUM(накопительные!E$2:E$34))^$B$39)</f>
        <v>0</v>
      </c>
      <c r="F33">
        <f>IF(накопительные!F33 = 0, 0,(накопительные!F33/SUM(накопительные!F$2:F$34))^$B$39)</f>
        <v>0</v>
      </c>
      <c r="G33">
        <f>IF(накопительные!G33 = 0, 0,(накопительные!G33/SUM(накопительные!G$2:G$34))^$B$39)</f>
        <v>0</v>
      </c>
      <c r="H33">
        <f>IF(накопительные!H33 = 0, 0,(накопительные!H33/SUM(накопительные!H$2:H$34))^$B$39)</f>
        <v>0</v>
      </c>
      <c r="I33">
        <f>IF(накопительные!I33 = 0, 0,(накопительные!I33/SUM(накопительные!I$2:I$34))^$B$39)</f>
        <v>0</v>
      </c>
      <c r="J33">
        <f>IF(накопительные!J33 = 0, 0,(накопительные!J33/SUM(накопительные!J$2:J$34))^$B$39)</f>
        <v>0</v>
      </c>
      <c r="K33">
        <f>IF(накопительные!K33 = 0, 0,(накопительные!K33/SUM(накопительные!K$2:K$34))^$B$39)</f>
        <v>0</v>
      </c>
      <c r="L33">
        <f>IF(накопительные!L33 = 0, 0,(накопительные!L33/SUM(накопительные!L$2:L$34))^$B$39)</f>
        <v>0</v>
      </c>
      <c r="M33">
        <f>IF(накопительные!M33 = 0, 0,(накопительные!M33/SUM(накопительные!M$2:M$34))^$B$39)</f>
        <v>0</v>
      </c>
      <c r="N33">
        <f>IF(накопительные!N33 = 0, 0,(накопительные!N33/SUM(накопительные!N$2:N$34))^$B$39)</f>
        <v>0</v>
      </c>
      <c r="O33">
        <f>IF(накопительные!O33 = 0, 0,(накопительные!O33/SUM(накопительные!O$2:O$34))^$B$39)</f>
        <v>0</v>
      </c>
      <c r="P33">
        <f>IF(накопительные!P33 = 0, 0,(накопительные!P33/SUM(накопительные!P$2:P$34))^$B$39)</f>
        <v>851.81666666666672</v>
      </c>
      <c r="Q33">
        <f>IF(накопительные!Q33 = 0, 0,(накопительные!Q33/SUM(накопительные!Q$2:Q$34))^$B$39)</f>
        <v>920.48333333333358</v>
      </c>
      <c r="R33">
        <f>IF(накопительные!R33 = 0, 0,(накопительные!R33/SUM(накопительные!R$2:R$34))^$B$39)</f>
        <v>1025.25</v>
      </c>
      <c r="S33">
        <f>IF(накопительные!S33 = 0, 0,(накопительные!S33/SUM(накопительные!S$2:S$34))^$B$39)</f>
        <v>1062.333333333333</v>
      </c>
      <c r="T33">
        <f>IF(накопительные!T33 = 0, 0,(накопительные!T33/SUM(накопительные!T$2:T$34))^$B$39)</f>
        <v>1099.2833333333331</v>
      </c>
    </row>
    <row r="34" spans="1:20" x14ac:dyDescent="0.25">
      <c r="A34" t="s">
        <v>52</v>
      </c>
      <c r="B34">
        <f>IF(накопительные!B34 = 0, 0,(накопительные!B34/SUM(накопительные!B$2:B$34))^$B$39)</f>
        <v>0</v>
      </c>
      <c r="C34">
        <f>IF(накопительные!C34 = 0, 0,(накопительные!C34/SUM(накопительные!C$2:C$34))^$B$39)</f>
        <v>0</v>
      </c>
      <c r="D34">
        <f>IF(накопительные!D34 = 0, 0,(накопительные!D34/SUM(накопительные!D$2:D$34))^$B$39)</f>
        <v>0</v>
      </c>
      <c r="E34">
        <f>IF(накопительные!E34 = 0, 0,(накопительные!E34/SUM(накопительные!E$2:E$34))^$B$39)</f>
        <v>0</v>
      </c>
      <c r="F34">
        <f>IF(накопительные!F34 = 0, 0,(накопительные!F34/SUM(накопительные!F$2:F$34))^$B$39)</f>
        <v>0</v>
      </c>
      <c r="G34">
        <f>IF(накопительные!G34 = 0, 0,(накопительные!G34/SUM(накопительные!G$2:G$34))^$B$39)</f>
        <v>0</v>
      </c>
      <c r="H34">
        <f>IF(накопительные!H34 = 0, 0,(накопительные!H34/SUM(накопительные!H$2:H$34))^$B$39)</f>
        <v>0</v>
      </c>
      <c r="I34">
        <f>IF(накопительные!I34 = 0, 0,(накопительные!I34/SUM(накопительные!I$2:I$34))^$B$39)</f>
        <v>0</v>
      </c>
      <c r="J34">
        <f>IF(накопительные!J34 = 0, 0,(накопительные!J34/SUM(накопительные!J$2:J$34))^$B$39)</f>
        <v>0</v>
      </c>
      <c r="K34">
        <f>IF(накопительные!K34 = 0, 0,(накопительные!K34/SUM(накопительные!K$2:K$34))^$B$39)</f>
        <v>0</v>
      </c>
      <c r="L34">
        <f>IF(накопительные!L34 = 0, 0,(накопительные!L34/SUM(накопительные!L$2:L$34))^$B$39)</f>
        <v>0</v>
      </c>
      <c r="M34">
        <f>IF(накопительные!M34 = 0, 0,(накопительные!M34/SUM(накопительные!M$2:M$34))^$B$39)</f>
        <v>0</v>
      </c>
      <c r="N34">
        <f>IF(накопительные!N34 = 0, 0,(накопительные!N34/SUM(накопительные!N$2:N$34))^$B$39)</f>
        <v>0</v>
      </c>
      <c r="O34">
        <f>IF(накопительные!O34 = 0, 0,(накопительные!O34/SUM(накопительные!O$2:O$34))^$B$39)</f>
        <v>0</v>
      </c>
      <c r="P34">
        <f>IF(накопительные!P34 = 0, 0,(накопительные!P34/SUM(накопительные!P$2:P$34))^$B$39)</f>
        <v>0</v>
      </c>
      <c r="Q34">
        <f>IF(накопительные!Q34 = 0, 0,(накопительные!Q34/SUM(накопительные!Q$2:Q$34))^$B$39)</f>
        <v>0</v>
      </c>
      <c r="R34">
        <f>IF(накопительные!R34 = 0, 0,(накопительные!R34/SUM(накопительные!R$2:R$34))^$B$39)</f>
        <v>0</v>
      </c>
      <c r="S34">
        <f>IF(накопительные!S34 = 0, 0,(накопительные!S34/SUM(накопительные!S$2:S$34))^$B$39)</f>
        <v>179.54929577464785</v>
      </c>
      <c r="T34">
        <f>IF(накопительные!T34 = 0, 0,(накопительные!T34/SUM(накопительные!T$2:T$34))^$B$39)</f>
        <v>185.79436619718305</v>
      </c>
    </row>
    <row r="36" spans="1:20" x14ac:dyDescent="0.25">
      <c r="A36" s="1" t="s">
        <v>53</v>
      </c>
      <c r="B36">
        <f>SUM(B2:B34)</f>
        <v>2171.1965687645684</v>
      </c>
      <c r="C36">
        <f t="shared" ref="C36:T36" si="0">SUM(C2:C34)</f>
        <v>5117.4350776373085</v>
      </c>
      <c r="D36">
        <f t="shared" si="0"/>
        <v>4600.2466689026514</v>
      </c>
      <c r="E36">
        <f t="shared" si="0"/>
        <v>4725.8370567182074</v>
      </c>
      <c r="F36">
        <f t="shared" si="0"/>
        <v>38152.03224573459</v>
      </c>
      <c r="G36">
        <f t="shared" si="0"/>
        <v>37364.022967707242</v>
      </c>
      <c r="H36">
        <f t="shared" si="0"/>
        <v>35096.566046508917</v>
      </c>
      <c r="I36">
        <f t="shared" si="0"/>
        <v>15096.796821612863</v>
      </c>
      <c r="J36">
        <f t="shared" si="0"/>
        <v>16087.848363916661</v>
      </c>
      <c r="K36">
        <f t="shared" si="0"/>
        <v>18947.369139203176</v>
      </c>
      <c r="L36">
        <f t="shared" si="0"/>
        <v>17786.360995580377</v>
      </c>
      <c r="M36">
        <f t="shared" si="0"/>
        <v>15398.641790232896</v>
      </c>
      <c r="N36">
        <f t="shared" si="0"/>
        <v>15336.144898929888</v>
      </c>
      <c r="O36">
        <f t="shared" si="0"/>
        <v>16120.069595571653</v>
      </c>
      <c r="P36">
        <f t="shared" si="0"/>
        <v>15386.336002790847</v>
      </c>
      <c r="Q36">
        <f t="shared" si="0"/>
        <v>16368.205825232832</v>
      </c>
      <c r="R36">
        <f t="shared" si="0"/>
        <v>17842.292057210383</v>
      </c>
      <c r="S36">
        <f t="shared" si="0"/>
        <v>18398.168915988022</v>
      </c>
      <c r="T36">
        <f t="shared" si="0"/>
        <v>18832.227118194151</v>
      </c>
    </row>
    <row r="37" spans="1:20" x14ac:dyDescent="0.25">
      <c r="A37" s="1" t="s">
        <v>55</v>
      </c>
      <c r="B37">
        <f>LN(B36)/LN(SUM(накопительные!B2:B34))</f>
        <v>2.6705493943712693</v>
      </c>
      <c r="C37">
        <f>LN(C36)/LN(SUM(накопительные!C2:C34))</f>
        <v>2.001156035154823</v>
      </c>
      <c r="D37">
        <f>LN(D36)/LN(SUM(накопительные!D2:D34))</f>
        <v>1.8504817557609083</v>
      </c>
      <c r="E37">
        <f>LN(E36)/LN(SUM(накопительные!E2:E34))</f>
        <v>1.7450032874653478</v>
      </c>
      <c r="F37">
        <f>LN(F36)/LN(SUM(накопительные!F2:F34))</f>
        <v>2.0777463319754346</v>
      </c>
      <c r="G37">
        <f>LN(G36)/LN(SUM(накопительные!G2:G34))</f>
        <v>2.0055745523214346</v>
      </c>
      <c r="H37">
        <f>LN(H36)/LN(SUM(накопительные!H2:H34))</f>
        <v>1.9463991565643064</v>
      </c>
      <c r="I37">
        <f>LN(I36)/LN(SUM(накопительные!I2:I34))</f>
        <v>1.7625171156112482</v>
      </c>
      <c r="J37">
        <f>LN(J36)/LN(SUM(накопительные!J2:J34))</f>
        <v>1.7337788798523202</v>
      </c>
      <c r="K37">
        <f>LN(K36)/LN(SUM(накопительные!K2:K34))</f>
        <v>1.7105667615106048</v>
      </c>
      <c r="L37">
        <f>LN(L36)/LN(SUM(накопительные!L2:L34))</f>
        <v>1.6671039302929178</v>
      </c>
      <c r="M37">
        <f>LN(M36)/LN(SUM(накопительные!M2:M34))</f>
        <v>1.6119923386291228</v>
      </c>
      <c r="N37">
        <f>LN(N36)/LN(SUM(накопительные!N2:N34))</f>
        <v>1.593489482490656</v>
      </c>
      <c r="O37">
        <f>LN(O36)/LN(SUM(накопительные!O2:O34))</f>
        <v>1.5725569079984252</v>
      </c>
      <c r="P37">
        <f>LN(P36)/LN(SUM(накопительные!P2:P34))</f>
        <v>1.5459255148389286</v>
      </c>
      <c r="Q37">
        <f>LN(Q36)/LN(SUM(накопительные!Q2:Q34))</f>
        <v>1.5367411252707799</v>
      </c>
      <c r="R37">
        <f>LN(R36)/LN(SUM(накопительные!R2:R34))</f>
        <v>1.5243741713452963</v>
      </c>
      <c r="S37">
        <f>LN(S36)/LN(SUM(накопительные!S2:S34))</f>
        <v>1.5207375064439541</v>
      </c>
      <c r="T37">
        <f>LN(T36)/LN(SUM(накопительные!T2:T34))</f>
        <v>1.5163200016064073</v>
      </c>
    </row>
    <row r="39" spans="1:20" x14ac:dyDescent="0.25">
      <c r="A39" s="2" t="s">
        <v>56</v>
      </c>
      <c r="B39" s="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EBE4-BD55-46CE-94C2-3F5E767353BC}">
  <dimension ref="A1:T39"/>
  <sheetViews>
    <sheetView workbookViewId="0">
      <selection sqref="A1:XFD1"/>
    </sheetView>
  </sheetViews>
  <sheetFormatPr defaultRowHeight="15" x14ac:dyDescent="0.25"/>
  <cols>
    <col min="1" max="1" width="25.5703125" bestFit="1" customWidth="1"/>
    <col min="2" max="2" width="12.7109375" bestFit="1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20</v>
      </c>
      <c r="B2">
        <f>IF(накопительные!B2 = 0, 0,(накопительные!B2/SUM(накопительные!B$2:B$34))^$B$39)</f>
        <v>16.292231404958677</v>
      </c>
      <c r="C2">
        <f>IF(накопительные!C2 = 0, 0,(накопительные!C2/SUM(накопительные!C$2:C$34))^$B$39)</f>
        <v>195.78045367166467</v>
      </c>
      <c r="D2">
        <f>IF(накопительные!D2 = 0, 0,(накопительные!D2/SUM(накопительные!D$2:D$34))^$B$39)</f>
        <v>193.79891523256424</v>
      </c>
      <c r="E2">
        <f>IF(накопительные!E2 = 0, 0,(накопительные!E2/SUM(накопительные!E$2:E$34))^$B$39)</f>
        <v>346.77507805423829</v>
      </c>
      <c r="F2">
        <f>IF(накопительные!F2 = 0, 0,(накопительные!F2/SUM(накопительные!F$2:F$34))^$B$39)</f>
        <v>547.90165911875965</v>
      </c>
      <c r="G2">
        <f>IF(накопительные!G2 = 0, 0,(накопительные!G2/SUM(накопительные!G$2:G$34))^$B$39)</f>
        <v>773.32708402152502</v>
      </c>
      <c r="H2">
        <f>IF(накопительные!H2 = 0, 0,(накопительные!H2/SUM(накопительные!H$2:H$34))^$B$39)</f>
        <v>997.82203420533904</v>
      </c>
      <c r="I2">
        <f>IF(накопительные!I2 = 0, 0,(накопительные!I2/SUM(накопительные!I$2:I$34))^$B$39)</f>
        <v>1176.4399275400929</v>
      </c>
      <c r="J2">
        <f>IF(накопительные!J2 = 0, 0,(накопительные!J2/SUM(накопительные!J$2:J$34))^$B$39)</f>
        <v>1517.1309307901324</v>
      </c>
      <c r="K2">
        <f>IF(накопительные!K2 = 0, 0,(накопительные!K2/SUM(накопительные!K$2:K$34))^$B$39)</f>
        <v>2137.6785998188511</v>
      </c>
      <c r="L2">
        <f>IF(накопительные!L2 = 0, 0,(накопительные!L2/SUM(накопительные!L$2:L$34))^$B$39)</f>
        <v>2675.3812371463591</v>
      </c>
      <c r="M2">
        <f>IF(накопительные!M2 = 0, 0,(накопительные!M2/SUM(накопительные!M$2:M$34))^$B$39)</f>
        <v>3342.1902093878198</v>
      </c>
      <c r="N2">
        <f>IF(накопительные!N2 = 0, 0,(накопительные!N2/SUM(накопительные!N$2:N$34))^$B$39)</f>
        <v>3820.6836400447519</v>
      </c>
      <c r="O2">
        <f>IF(накопительные!O2 = 0, 0,(накопительные!O2/SUM(накопительные!O$2:O$34))^$B$39)</f>
        <v>4781.9748755927303</v>
      </c>
      <c r="P2">
        <f>IF(накопительные!P2 = 0, 0,(накопительные!P2/SUM(накопительные!P$2:P$34))^$B$39)</f>
        <v>5566.9026181469462</v>
      </c>
      <c r="Q2">
        <f>IF(накопительные!Q2 = 0, 0,(накопительные!Q2/SUM(накопительные!Q$2:Q$34))^$B$39)</f>
        <v>6500.596602909055</v>
      </c>
      <c r="R2">
        <f>IF(накопительные!R2 = 0, 0,(накопительные!R2/SUM(накопительные!R$2:R$34))^$B$39)</f>
        <v>7613.4907197827033</v>
      </c>
      <c r="S2">
        <f>IF(накопительные!S2 = 0, 0,(накопительные!S2/SUM(накопительные!S$2:S$34))^$B$39)</f>
        <v>8174.2117599718276</v>
      </c>
      <c r="T2">
        <f>IF(накопительные!T2 = 0, 0,(накопительные!T2/SUM(накопительные!T$2:T$34))^$B$39)</f>
        <v>6713.2068191813532</v>
      </c>
    </row>
    <row r="3" spans="1:20" x14ac:dyDescent="0.25">
      <c r="A3" t="s">
        <v>21</v>
      </c>
      <c r="B3">
        <f>IF(накопительные!B3 = 0, 0,(накопительные!B3/SUM(накопительные!B$2:B$34))^$B$39)</f>
        <v>5.6074240000000009</v>
      </c>
      <c r="C3">
        <f>IF(накопительные!C3 = 0, 0,(накопительные!C3/SUM(накопительные!C$2:C$34))^$B$39)</f>
        <v>2.5146911604938276</v>
      </c>
      <c r="D3">
        <f>IF(накопительные!D3 = 0, 0,(накопительные!D3/SUM(накопительные!D$2:D$34))^$B$39)</f>
        <v>3.6084862145045302</v>
      </c>
      <c r="E3">
        <f>IF(накопительные!E3 = 0, 0,(накопительные!E3/SUM(накопительные!E$2:E$34))^$B$39)</f>
        <v>3.3686773148387759</v>
      </c>
      <c r="F3">
        <f>IF(накопительные!F3 = 0, 0,(накопительные!F3/SUM(накопительные!F$2:F$34))^$B$39)</f>
        <v>4.4863380967421636</v>
      </c>
      <c r="G3">
        <f>IF(накопительные!G3 = 0, 0,(накопительные!G3/SUM(накопительные!G$2:G$34))^$B$39)</f>
        <v>5.4629741578531403</v>
      </c>
      <c r="H3">
        <f>IF(накопительные!H3 = 0, 0,(накопительные!H3/SUM(накопительные!H$2:H$34))^$B$39)</f>
        <v>4.7102495450242428</v>
      </c>
      <c r="I3">
        <f>IF(накопительные!I3 = 0, 0,(накопительные!I3/SUM(накопительные!I$2:I$34))^$B$39)</f>
        <v>5.0938885613017124</v>
      </c>
      <c r="J3">
        <f>IF(накопительные!J3 = 0, 0,(накопительные!J3/SUM(накопительные!J$2:J$34))^$B$39)</f>
        <v>5.9697882787237182</v>
      </c>
      <c r="K3">
        <f>IF(накопительные!K3 = 0, 0,(накопительные!K3/SUM(накопительные!K$2:K$34))^$B$39)</f>
        <v>5.6875784822271038</v>
      </c>
      <c r="L3">
        <f>IF(накопительные!L3 = 0, 0,(накопительные!L3/SUM(накопительные!L$2:L$34))^$B$39)</f>
        <v>5.4121149638568866</v>
      </c>
      <c r="M3">
        <f>IF(накопительные!M3 = 0, 0,(накопительные!M3/SUM(накопительные!M$2:M$34))^$B$39)</f>
        <v>5.0916443892500869</v>
      </c>
      <c r="N3">
        <f>IF(накопительные!N3 = 0, 0,(накопительные!N3/SUM(накопительные!N$2:N$34))^$B$39)</f>
        <v>5.4361387549971836</v>
      </c>
      <c r="O3">
        <f>IF(накопительные!O3 = 0, 0,(накопительные!O3/SUM(накопительные!O$2:O$34))^$B$39)</f>
        <v>5.6889215470022272</v>
      </c>
      <c r="P3">
        <f>IF(накопительные!P3 = 0, 0,(накопительные!P3/SUM(накопительные!P$2:P$34))^$B$39)</f>
        <v>6.2952460506645735</v>
      </c>
      <c r="Q3">
        <f>IF(накопительные!Q3 = 0, 0,(накопительные!Q3/SUM(накопительные!Q$2:Q$34))^$B$39)</f>
        <v>6.8969299366053001</v>
      </c>
      <c r="R3">
        <f>IF(накопительные!R3 = 0, 0,(накопительные!R3/SUM(накопительные!R$2:R$34))^$B$39)</f>
        <v>7.6026135636936933</v>
      </c>
      <c r="S3">
        <f>IF(накопительные!S3 = 0, 0,(накопительные!S3/SUM(накопительные!S$2:S$34))^$B$39)</f>
        <v>7.8360654915618522</v>
      </c>
      <c r="T3">
        <f>IF(накопительные!T3 = 0, 0,(накопительные!T3/SUM(накопительные!T$2:T$34))^$B$39)</f>
        <v>7.9653408187280945</v>
      </c>
    </row>
    <row r="4" spans="1:20" x14ac:dyDescent="0.25">
      <c r="A4" t="s">
        <v>22</v>
      </c>
      <c r="B4">
        <f>IF(накопительные!B4 = 0, 0,(накопительные!B4/SUM(накопительные!B$2:B$34))^$B$39)</f>
        <v>0</v>
      </c>
      <c r="C4">
        <f>IF(накопительные!C4 = 0, 0,(накопительные!C4/SUM(накопительные!C$2:C$34))^$B$39)</f>
        <v>0</v>
      </c>
      <c r="D4">
        <f>IF(накопительные!D4 = 0, 0,(накопительные!D4/SUM(накопительные!D$2:D$34))^$B$39)</f>
        <v>0</v>
      </c>
      <c r="E4">
        <f>IF(накопительные!E4 = 0, 0,(накопительные!E4/SUM(накопительные!E$2:E$34))^$B$39)</f>
        <v>0</v>
      </c>
      <c r="F4">
        <f>IF(накопительные!F4 = 0, 0,(накопительные!F4/SUM(накопительные!F$2:F$34))^$B$39)</f>
        <v>0</v>
      </c>
      <c r="G4">
        <f>IF(накопительные!G4 = 0, 0,(накопительные!G4/SUM(накопительные!G$2:G$34))^$B$39)</f>
        <v>14514576.040000003</v>
      </c>
      <c r="H4">
        <f>IF(накопительные!H4 = 0, 0,(накопительные!H4/SUM(накопительные!H$2:H$34))^$B$39)</f>
        <v>9555164.1632653084</v>
      </c>
      <c r="I4">
        <f>IF(накопительные!I4 = 0, 0,(накопительные!I4/SUM(накопительные!I$2:I$34))^$B$39)</f>
        <v>8625234.7656250019</v>
      </c>
      <c r="J4">
        <f>IF(накопительные!J4 = 0, 0,(накопительные!J4/SUM(накопительные!J$2:J$34))^$B$39)</f>
        <v>11123058.765624998</v>
      </c>
      <c r="K4">
        <f>IF(накопительные!K4 = 0, 0,(накопительные!K4/SUM(накопительные!K$2:K$34))^$B$39)</f>
        <v>15672691.265625007</v>
      </c>
      <c r="L4">
        <f>IF(накопительные!L4 = 0, 0,(накопительные!L4/SUM(накопительные!L$2:L$34))^$B$39)</f>
        <v>1601219.0829081633</v>
      </c>
      <c r="M4">
        <f>IF(накопительные!M4 = 0, 0,(накопительные!M4/SUM(накопительные!M$2:M$34))^$B$39)</f>
        <v>2000305.1033163264</v>
      </c>
      <c r="N4">
        <f>IF(накопительные!N4 = 0, 0,(накопительные!N4/SUM(накопительные!N$2:N$34))^$B$39)</f>
        <v>2286684.0318877539</v>
      </c>
      <c r="O4">
        <f>IF(накопительные!O4 = 0, 0,(накопительные!O4/SUM(накопительные!O$2:O$34))^$B$39)</f>
        <v>2862018.0624999981</v>
      </c>
      <c r="P4">
        <f>IF(накопительные!P4 = 0, 0,(накопительные!P4/SUM(накопительные!P$2:P$34))^$B$39)</f>
        <v>3331798.3176020407</v>
      </c>
      <c r="Q4">
        <f>IF(накопительные!Q4 = 0, 0,(накопительные!Q4/SUM(накопительные!Q$2:Q$34))^$B$39)</f>
        <v>3890615.3584183683</v>
      </c>
      <c r="R4">
        <f>IF(накопительные!R4 = 0, 0,(накопительные!R4/SUM(накопительные!R$2:R$34))^$B$39)</f>
        <v>4826652.0727040796</v>
      </c>
      <c r="S4">
        <f>IF(накопительные!S4 = 0, 0,(накопительные!S4/SUM(накопительные!S$2:S$34))^$B$39)</f>
        <v>5182127.0408163229</v>
      </c>
      <c r="T4">
        <f>IF(накопительные!T4 = 0, 0,(накопительные!T4/SUM(накопительные!T$2:T$34))^$B$39)</f>
        <v>5548885.0114795873</v>
      </c>
    </row>
    <row r="5" spans="1:20" x14ac:dyDescent="0.25">
      <c r="A5" t="s">
        <v>23</v>
      </c>
      <c r="B5">
        <f>IF(накопительные!B5 = 0, 0,(накопительные!B5/SUM(накопительные!B$2:B$34))^$B$39)</f>
        <v>350464.00000000006</v>
      </c>
      <c r="C5">
        <f>IF(накопительные!C5 = 0, 0,(накопительные!C5/SUM(накопительные!C$2:C$34))^$B$39)</f>
        <v>96261.807183364828</v>
      </c>
      <c r="D5">
        <f>IF(накопительные!D5 = 0, 0,(накопительные!D5/SUM(накопительные!D$2:D$34))^$B$39)</f>
        <v>171900.37051039693</v>
      </c>
      <c r="E5">
        <f>IF(накопительные!E5 = 0, 0,(накопительные!E5/SUM(накопительные!E$2:E$34))^$B$39)</f>
        <v>149417.38842975206</v>
      </c>
      <c r="F5">
        <f>IF(накопительные!F5 = 0, 0,(накопительные!F5/SUM(накопительные!F$2:F$34))^$B$39)</f>
        <v>6901.907594834759</v>
      </c>
      <c r="G5">
        <f>IF(накопительные!G5 = 0, 0,(накопительные!G5/SUM(накопительные!G$2:G$34))^$B$39)</f>
        <v>5246.0553282539886</v>
      </c>
      <c r="H5">
        <f>IF(накопительные!H5 = 0, 0,(накопительные!H5/SUM(накопительные!H$2:H$34))^$B$39)</f>
        <v>6282.1592131921834</v>
      </c>
      <c r="I5">
        <f>IF(накопительные!I5 = 0, 0,(накопительные!I5/SUM(накопительные!I$2:I$34))^$B$39)</f>
        <v>7246.5740521949192</v>
      </c>
      <c r="J5">
        <f>IF(накопительные!J5 = 0, 0,(накопительные!J5/SUM(накопительные!J$2:J$34))^$B$39)</f>
        <v>3922.6992054045718</v>
      </c>
      <c r="K5">
        <f>IF(накопительные!K5 = 0, 0,(накопительные!K5/SUM(накопительные!K$2:K$34))^$B$39)</f>
        <v>5527.189496131723</v>
      </c>
      <c r="L5">
        <f>IF(накопительные!L5 = 0, 0,(накопительные!L5/SUM(накопительные!L$2:L$34))^$B$39)</f>
        <v>6917.4753741541608</v>
      </c>
      <c r="M5">
        <f>IF(накопительные!M5 = 0, 0,(накопительные!M5/SUM(накопительные!M$2:M$34))^$B$39)</f>
        <v>8442.2413800528648</v>
      </c>
      <c r="N5">
        <f>IF(накопительные!N5 = 0, 0,(накопительные!N5/SUM(накопительные!N$2:N$34))^$B$39)</f>
        <v>8813.9206837724469</v>
      </c>
      <c r="O5">
        <f>IF(накопительные!O5 = 0, 0,(накопительные!O5/SUM(накопительные!O$2:O$34))^$B$39)</f>
        <v>11031.519810620401</v>
      </c>
      <c r="P5">
        <f>IF(накопительные!P5 = 0, 0,(накопительные!P5/SUM(накопительные!P$2:P$34))^$B$39)</f>
        <v>8924.8358485860063</v>
      </c>
      <c r="Q5">
        <f>IF(накопительные!Q5 = 0, 0,(накопительные!Q5/SUM(накопительные!Q$2:Q$34))^$B$39)</f>
        <v>10421.730283141038</v>
      </c>
      <c r="R5">
        <f>IF(накопительные!R5 = 0, 0,(накопительные!R5/SUM(накопительные!R$2:R$34))^$B$39)</f>
        <v>12881.412375239988</v>
      </c>
      <c r="S5">
        <f>IF(накопительные!S5 = 0, 0,(накопительные!S5/SUM(накопительные!S$2:S$34))^$B$39)</f>
        <v>12417.43972810406</v>
      </c>
      <c r="T5">
        <f>IF(накопительные!T5 = 0, 0,(накопительные!T5/SUM(накопительные!T$2:T$34))^$B$39)</f>
        <v>13203.771591861012</v>
      </c>
    </row>
    <row r="6" spans="1:20" x14ac:dyDescent="0.25">
      <c r="A6" t="s">
        <v>24</v>
      </c>
      <c r="B6">
        <f>IF(накопительные!B6 = 0, 0,(накопительные!B6/SUM(накопительные!B$2:B$34))^$B$39)</f>
        <v>0</v>
      </c>
      <c r="C6">
        <f>IF(накопительные!C6 = 0, 0,(накопительные!C6/SUM(накопительные!C$2:C$34))^$B$39)</f>
        <v>0</v>
      </c>
      <c r="D6">
        <f>IF(накопительные!D6 = 0, 0,(накопительные!D6/SUM(накопительные!D$2:D$34))^$B$39)</f>
        <v>0</v>
      </c>
      <c r="E6">
        <f>IF(накопительные!E6 = 0, 0,(накопительные!E6/SUM(накопительные!E$2:E$34))^$B$39)</f>
        <v>0</v>
      </c>
      <c r="F6">
        <f>IF(накопительные!F6 = 0, 0,(накопительные!F6/SUM(накопительные!F$2:F$34))^$B$39)</f>
        <v>257089155.99999997</v>
      </c>
      <c r="G6">
        <f>IF(накопительные!G6 = 0, 0,(накопительные!G6/SUM(накопительные!G$2:G$34))^$B$39)</f>
        <v>362864401.00000012</v>
      </c>
      <c r="H6">
        <f>IF(накопительные!H6 = 0, 0,(накопительные!H6/SUM(накопительные!H$2:H$34))^$B$39)</f>
        <v>468203044.00000018</v>
      </c>
      <c r="I6">
        <f>IF(накопительные!I6 = 0, 0,(накопительные!I6/SUM(накопительные!I$2:I$34))^$B$39)</f>
        <v>15333750.694444448</v>
      </c>
      <c r="J6">
        <f>IF(накопительные!J6 = 0, 0,(накопительные!J6/SUM(накопительные!J$2:J$34))^$B$39)</f>
        <v>19774326.69444444</v>
      </c>
      <c r="K6">
        <f>IF(накопительные!K6 = 0, 0,(накопительные!K6/SUM(накопительные!K$2:K$34))^$B$39)</f>
        <v>27862562.250000011</v>
      </c>
      <c r="L6">
        <f>IF(накопительные!L6 = 0, 0,(накопительные!L6/SUM(накопительные!L$2:L$34))^$B$39)</f>
        <v>34870993.361111119</v>
      </c>
      <c r="M6">
        <f>IF(накопительные!M6 = 0, 0,(накопительные!M6/SUM(накопительные!M$2:M$34))^$B$39)</f>
        <v>6125934.3789062481</v>
      </c>
      <c r="N6">
        <f>IF(накопительные!N6 = 0, 0,(накопительные!N6/SUM(накопительные!N$2:N$34))^$B$39)</f>
        <v>2652012.2499999986</v>
      </c>
      <c r="O6">
        <f>IF(накопительные!O6 = 0, 0,(накопительные!O6/SUM(накопительные!O$2:O$34))^$B$39)</f>
        <v>715504.51562499953</v>
      </c>
      <c r="P6">
        <f>IF(накопительные!P6 = 0, 0,(накопительные!P6/SUM(накопительные!P$2:P$34))^$B$39)</f>
        <v>452238.5528047093</v>
      </c>
      <c r="Q6">
        <f>IF(накопительные!Q6 = 0, 0,(накопительные!Q6/SUM(накопительные!Q$2:Q$34))^$B$39)</f>
        <v>412417.85302866442</v>
      </c>
      <c r="R6">
        <f>IF(накопительные!R6 = 0, 0,(накопительные!R6/SUM(накопительные!R$2:R$34))^$B$39)</f>
        <v>511640.78217955644</v>
      </c>
      <c r="S6">
        <f>IF(накопительные!S6 = 0, 0,(накопительные!S6/SUM(накопительные!S$2:S$34))^$B$39)</f>
        <v>255907.50818846046</v>
      </c>
      <c r="T6">
        <f>IF(накопительные!T6 = 0, 0,(накопительные!T6/SUM(накопительные!T$2:T$34))^$B$39)</f>
        <v>235203.60342776799</v>
      </c>
    </row>
    <row r="7" spans="1:20" x14ac:dyDescent="0.25">
      <c r="A7" t="s">
        <v>25</v>
      </c>
      <c r="B7">
        <f>IF(накопительные!B7 = 0, 0,(накопительные!B7/SUM(накопительные!B$2:B$34))^$B$39)</f>
        <v>0</v>
      </c>
      <c r="C7">
        <f>IF(накопительные!C7 = 0, 0,(накопительные!C7/SUM(накопительные!C$2:C$34))^$B$39)</f>
        <v>0</v>
      </c>
      <c r="D7">
        <f>IF(накопительные!D7 = 0, 0,(накопительные!D7/SUM(накопительные!D$2:D$34))^$B$39)</f>
        <v>909352.95999999961</v>
      </c>
      <c r="E7">
        <f>IF(накопительные!E7 = 0, 0,(накопительные!E7/SUM(накопительные!E$2:E$34))^$B$39)</f>
        <v>1627155.3599999999</v>
      </c>
      <c r="F7">
        <f>IF(накопительные!F7 = 0, 0,(накопительные!F7/SUM(накопительные!F$2:F$34))^$B$39)</f>
        <v>2570891.56</v>
      </c>
      <c r="G7">
        <f>IF(накопительные!G7 = 0, 0,(накопительные!G7/SUM(накопительные!G$2:G$34))^$B$39)</f>
        <v>3628644.0100000007</v>
      </c>
      <c r="H7">
        <f>IF(накопительные!H7 = 0, 0,(накопительные!H7/SUM(накопительные!H$2:H$34))^$B$39)</f>
        <v>3251410.0277777785</v>
      </c>
      <c r="I7">
        <f>IF(накопительные!I7 = 0, 0,(накопительные!I7/SUM(накопительные!I$2:I$34))^$B$39)</f>
        <v>3833437.6736111119</v>
      </c>
      <c r="J7">
        <f>IF(накопительные!J7 = 0, 0,(накопительные!J7/SUM(накопительные!J$2:J$34))^$B$39)</f>
        <v>4943581.6736111101</v>
      </c>
      <c r="K7">
        <f>IF(накопительные!K7 = 0, 0,(накопительные!K7/SUM(накопительные!K$2:K$34))^$B$39)</f>
        <v>6965640.5625000028</v>
      </c>
      <c r="L7">
        <f>IF(накопительные!L7 = 0, 0,(накопительные!L7/SUM(накопительные!L$2:L$34))^$B$39)</f>
        <v>8717748.3402777798</v>
      </c>
      <c r="M7">
        <f>IF(накопительные!M7 = 0, 0,(накопительные!M7/SUM(накопительные!M$2:M$34))^$B$39)</f>
        <v>10890550.006944444</v>
      </c>
      <c r="N7">
        <f>IF(накопительные!N7 = 0, 0,(накопительные!N7/SUM(накопительные!N$2:N$34))^$B$39)</f>
        <v>12449724.173611106</v>
      </c>
      <c r="O7">
        <f>IF(накопительные!O7 = 0, 0,(накопительные!O7/SUM(накопительные!O$2:O$34))^$B$39)</f>
        <v>15582098.340277771</v>
      </c>
      <c r="P7">
        <f>IF(накопительные!P7 = 0, 0,(накопительные!P7/SUM(накопительные!P$2:P$34))^$B$39)</f>
        <v>44602.996397104042</v>
      </c>
      <c r="Q7">
        <f>IF(накопительные!Q7 = 0, 0,(накопительные!Q7/SUM(накопительные!Q$2:Q$34))^$B$39)</f>
        <v>9322.7127273949918</v>
      </c>
      <c r="R7">
        <f>IF(накопительные!R7 = 0, 0,(накопительные!R7/SUM(накопительные!R$2:R$34))^$B$39)</f>
        <v>9780.9555965095497</v>
      </c>
      <c r="S7">
        <f>IF(накопительные!S7 = 0, 0,(накопительные!S7/SUM(накопительные!S$2:S$34))^$B$39)</f>
        <v>10501.306851666128</v>
      </c>
      <c r="T7">
        <f>IF(накопительные!T7 = 0, 0,(накопительные!T7/SUM(накопительные!T$2:T$34))^$B$39)</f>
        <v>11244.522515792842</v>
      </c>
    </row>
    <row r="8" spans="1:20" x14ac:dyDescent="0.25">
      <c r="A8" t="s">
        <v>26</v>
      </c>
      <c r="B8">
        <f>IF(накопительные!B8 = 0, 0,(накопительные!B8/SUM(накопительные!B$2:B$34))^$B$39)</f>
        <v>0</v>
      </c>
      <c r="C8">
        <f>IF(накопительные!C8 = 0, 0,(накопительные!C8/SUM(накопительные!C$2:C$34))^$B$39)</f>
        <v>0</v>
      </c>
      <c r="D8">
        <f>IF(накопительные!D8 = 0, 0,(накопительные!D8/SUM(накопительные!D$2:D$34))^$B$39)</f>
        <v>0</v>
      </c>
      <c r="E8">
        <f>IF(накопительные!E8 = 0, 0,(накопительные!E8/SUM(накопительные!E$2:E$34))^$B$39)</f>
        <v>0</v>
      </c>
      <c r="F8">
        <f>IF(накопительные!F8 = 0, 0,(накопительные!F8/SUM(накопительные!F$2:F$34))^$B$39)</f>
        <v>0</v>
      </c>
      <c r="G8">
        <f>IF(накопительные!G8 = 0, 0,(накопительные!G8/SUM(накопительные!G$2:G$34))^$B$39)</f>
        <v>145145.76040000006</v>
      </c>
      <c r="H8">
        <f>IF(накопительные!H8 = 0, 0,(накопительные!H8/SUM(накопительные!H$2:H$34))^$B$39)</f>
        <v>64803.189480968911</v>
      </c>
      <c r="I8">
        <f>IF(накопительные!I8 = 0, 0,(накопительные!I8/SUM(накопительные!I$2:I$34))^$B$39)</f>
        <v>61165.099722991719</v>
      </c>
      <c r="J8">
        <f>IF(накопительные!J8 = 0, 0,(накопительные!J8/SUM(накопительные!J$2:J$34))^$B$39)</f>
        <v>45560.048704000001</v>
      </c>
      <c r="K8">
        <f>IF(накопительные!K8 = 0, 0,(накопительные!K8/SUM(накопительные!K$2:K$34))^$B$39)</f>
        <v>23867.989077929822</v>
      </c>
      <c r="L8">
        <f>IF(накопительные!L8 = 0, 0,(накопительные!L8/SUM(накопительные!L$2:L$34))^$B$39)</f>
        <v>9961.1645387819917</v>
      </c>
      <c r="M8">
        <f>IF(накопительные!M8 = 0, 0,(накопительные!M8/SUM(накопительные!M$2:M$34))^$B$39)</f>
        <v>8682.2931543252598</v>
      </c>
      <c r="N8">
        <f>IF(накопительные!N8 = 0, 0,(накопительные!N8/SUM(накопительные!N$2:N$34))^$B$39)</f>
        <v>7316.6423058871515</v>
      </c>
      <c r="O8">
        <f>IF(накопительные!O8 = 0, 0,(накопительные!O8/SUM(накопительные!O$2:O$34))^$B$39)</f>
        <v>7028.9675338710913</v>
      </c>
      <c r="P8">
        <f>IF(накопительные!P8 = 0, 0,(накопительные!P8/SUM(накопительные!P$2:P$34))^$B$39)</f>
        <v>8182.7234113869536</v>
      </c>
      <c r="Q8">
        <f>IF(накопительные!Q8 = 0, 0,(накопительные!Q8/SUM(накопительные!Q$2:Q$34))^$B$39)</f>
        <v>9555.1490046205727</v>
      </c>
      <c r="R8">
        <f>IF(накопительные!R8 = 0, 0,(накопительные!R8/SUM(накопительные!R$2:R$34))^$B$39)</f>
        <v>11646.953601108031</v>
      </c>
      <c r="S8">
        <f>IF(накопительные!S8 = 0, 0,(накопительные!S8/SUM(накопительные!S$2:S$34))^$B$39)</f>
        <v>10236.300327538418</v>
      </c>
      <c r="T8">
        <f>IF(накопительные!T8 = 0, 0,(накопительные!T8/SUM(накопительные!T$2:T$34))^$B$39)</f>
        <v>7150.4369641683079</v>
      </c>
    </row>
    <row r="9" spans="1:20" x14ac:dyDescent="0.25">
      <c r="A9" t="s">
        <v>27</v>
      </c>
      <c r="B9">
        <f>IF(накопительные!B9 = 0, 0,(накопительные!B9/SUM(накопительные!B$2:B$34))^$B$39)</f>
        <v>0</v>
      </c>
      <c r="C9">
        <f>IF(накопительные!C9 = 0, 0,(накопительные!C9/SUM(накопительные!C$2:C$34))^$B$39)</f>
        <v>0</v>
      </c>
      <c r="D9">
        <f>IF(накопительные!D9 = 0, 0,(накопительные!D9/SUM(накопительные!D$2:D$34))^$B$39)</f>
        <v>0</v>
      </c>
      <c r="E9">
        <f>IF(накопительные!E9 = 0, 0,(накопительные!E9/SUM(накопительные!E$2:E$34))^$B$39)</f>
        <v>0</v>
      </c>
      <c r="F9">
        <f>IF(накопительные!F9 = 0, 0,(накопительные!F9/SUM(накопительные!F$2:F$34))^$B$39)</f>
        <v>0</v>
      </c>
      <c r="G9">
        <f>IF(накопительные!G9 = 0, 0,(накопительные!G9/SUM(накопительные!G$2:G$34))^$B$39)</f>
        <v>0</v>
      </c>
      <c r="H9">
        <f>IF(накопительные!H9 = 0, 0,(накопительные!H9/SUM(накопительные!H$2:H$34))^$B$39)</f>
        <v>0</v>
      </c>
      <c r="I9">
        <f>IF(накопительные!I9 = 0, 0,(накопительные!I9/SUM(накопительные!I$2:I$34))^$B$39)</f>
        <v>0</v>
      </c>
      <c r="J9">
        <f>IF(накопительные!J9 = 0, 0,(накопительные!J9/SUM(накопительные!J$2:J$34))^$B$39)</f>
        <v>27807.646914062494</v>
      </c>
      <c r="K9">
        <f>IF(накопительные!K9 = 0, 0,(накопительные!K9/SUM(накопительные!K$2:K$34))^$B$39)</f>
        <v>39181.728164062515</v>
      </c>
      <c r="L9">
        <f>IF(накопительные!L9 = 0, 0,(накопительные!L9/SUM(накопительные!L$2:L$34))^$B$39)</f>
        <v>7845.9735062500031</v>
      </c>
      <c r="M9">
        <f>IF(накопительные!M9 = 0, 0,(накопительные!M9/SUM(накопительные!M$2:M$34))^$B$39)</f>
        <v>9801.4950062500011</v>
      </c>
      <c r="N9">
        <f>IF(накопительные!N9 = 0, 0,(накопительные!N9/SUM(накопительные!N$2:N$34))^$B$39)</f>
        <v>11204.751756249994</v>
      </c>
      <c r="O9">
        <f>IF(накопительные!O9 = 0, 0,(накопительные!O9/SUM(накопительные!O$2:O$34))^$B$39)</f>
        <v>12720.080277777774</v>
      </c>
      <c r="P9">
        <f>IF(накопительные!P9 = 0, 0,(накопительные!P9/SUM(накопительные!P$2:P$34))^$B$39)</f>
        <v>13492.406410123967</v>
      </c>
      <c r="Q9">
        <f>IF(накопительные!Q9 = 0, 0,(накопительные!Q9/SUM(накопительные!Q$2:Q$34))^$B$39)</f>
        <v>15755.384509297524</v>
      </c>
      <c r="R9">
        <f>IF(накопительные!R9 = 0, 0,(накопительные!R9/SUM(накопительные!R$2:R$34))^$B$39)</f>
        <v>19545.946410123965</v>
      </c>
      <c r="S9">
        <f>IF(накопительные!S9 = 0, 0,(накопительные!S9/SUM(накопительные!S$2:S$34))^$B$39)</f>
        <v>20985.473140495855</v>
      </c>
      <c r="T9">
        <f>IF(накопительные!T9 = 0, 0,(накопительные!T9/SUM(накопительные!T$2:T$34))^$B$39)</f>
        <v>22470.691368801639</v>
      </c>
    </row>
    <row r="10" spans="1:20" x14ac:dyDescent="0.25">
      <c r="A10" t="s">
        <v>28</v>
      </c>
      <c r="B10">
        <f>IF(накопительные!B10 = 0, 0,(накопительные!B10/SUM(накопительные!B$2:B$34))^$B$39)</f>
        <v>5046.6816000000008</v>
      </c>
      <c r="C10">
        <f>IF(накопительные!C10 = 0, 0,(накопительные!C10/SUM(накопительные!C$2:C$34))^$B$39)</f>
        <v>25146.911604938272</v>
      </c>
      <c r="D10">
        <f>IF(накопительные!D10 = 0, 0,(накопительные!D10/SUM(накопительные!D$2:D$34))^$B$39)</f>
        <v>1646.6327931190576</v>
      </c>
      <c r="E10">
        <f>IF(накопительные!E10 = 0, 0,(накопительные!E10/SUM(накопительные!E$2:E$34))^$B$39)</f>
        <v>2824.9225000000006</v>
      </c>
      <c r="F10">
        <f>IF(накопительные!F10 = 0, 0,(накопительные!F10/SUM(накопительные!F$2:F$34))^$B$39)</f>
        <v>4463.3534027777778</v>
      </c>
      <c r="G10">
        <f>IF(накопительные!G10 = 0, 0,(накопительные!G10/SUM(накопительные!G$2:G$34))^$B$39)</f>
        <v>3543.5976660156257</v>
      </c>
      <c r="H10">
        <f>IF(накопительные!H10 = 0, 0,(накопительные!H10/SUM(накопительные!H$2:H$34))^$B$39)</f>
        <v>4572.2953515625013</v>
      </c>
      <c r="I10">
        <f>IF(накопительные!I10 = 0, 0,(накопительные!I10/SUM(накопительные!I$2:I$34))^$B$39)</f>
        <v>5390.7717285156259</v>
      </c>
      <c r="J10">
        <f>IF(накопительные!J10 = 0, 0,(накопительные!J10/SUM(накопительные!J$2:J$34))^$B$39)</f>
        <v>2964.9136234902121</v>
      </c>
      <c r="K10">
        <f>IF(накопительные!K10 = 0, 0,(накопительные!K10/SUM(накопительные!K$2:K$34))^$B$39)</f>
        <v>4177.6436526447333</v>
      </c>
      <c r="L10">
        <f>IF(накопительные!L10 = 0, 0,(накопительные!L10/SUM(накопительные!L$2:L$34))^$B$39)</f>
        <v>2714.8697253460214</v>
      </c>
      <c r="M10">
        <f>IF(накопительные!M10 = 0, 0,(накопительные!M10/SUM(накопительные!M$2:M$34))^$B$39)</f>
        <v>3155.2521523062219</v>
      </c>
      <c r="N10">
        <f>IF(накопительные!N10 = 0, 0,(накопительные!N10/SUM(накопительные!N$2:N$34))^$B$39)</f>
        <v>3606.9821055278881</v>
      </c>
      <c r="O10">
        <f>IF(накопительные!O10 = 0, 0,(накопительные!O10/SUM(накопительные!O$2:O$34))^$B$39)</f>
        <v>4389.1088287935827</v>
      </c>
      <c r="P10">
        <f>IF(накопительные!P10 = 0, 0,(накопительные!P10/SUM(накопительные!P$2:P$34))^$B$39)</f>
        <v>5109.5503564966521</v>
      </c>
      <c r="Q10">
        <f>IF(накопительные!Q10 = 0, 0,(накопительные!Q10/SUM(накопительные!Q$2:Q$34))^$B$39)</f>
        <v>5966.5361455327929</v>
      </c>
      <c r="R10">
        <f>IF(накопительные!R10 = 0, 0,(накопительные!R10/SUM(накопительные!R$2:R$34))^$B$39)</f>
        <v>6817.882482771045</v>
      </c>
      <c r="S10">
        <f>IF(накопительные!S10 = 0, 0,(накопительные!S10/SUM(накопительные!S$2:S$34))^$B$39)</f>
        <v>7222.7335111111079</v>
      </c>
      <c r="T10">
        <f>IF(накопительные!T10 = 0, 0,(накопительные!T10/SUM(накопительные!T$2:T$34))^$B$39)</f>
        <v>7733.9126204444401</v>
      </c>
    </row>
    <row r="11" spans="1:20" x14ac:dyDescent="0.25">
      <c r="A11" t="s">
        <v>29</v>
      </c>
      <c r="B11">
        <f>IF(накопительные!B11 = 0, 0,(накопительные!B11/SUM(накопительные!B$2:B$34))^$B$39)</f>
        <v>1261.6704000000002</v>
      </c>
      <c r="C11">
        <f>IF(накопительные!C11 = 0, 0,(накопительные!C11/SUM(накопительные!C$2:C$34))^$B$39)</f>
        <v>1273.0624</v>
      </c>
      <c r="D11">
        <f>IF(накопительные!D11 = 0, 0,(накопительные!D11/SUM(накопительные!D$2:D$34))^$B$39)</f>
        <v>336.29917159763301</v>
      </c>
      <c r="E11">
        <f>IF(накопительные!E11 = 0, 0,(накопительные!E11/SUM(накопительные!E$2:E$34))^$B$39)</f>
        <v>537.90259834710741</v>
      </c>
      <c r="F11">
        <f>IF(накопительные!F11 = 0, 0,(накопительные!F11/SUM(накопительные!F$2:F$34))^$B$39)</f>
        <v>849.88150743801646</v>
      </c>
      <c r="G11">
        <f>IF(накопительные!G11 = 0, 0,(накопительные!G11/SUM(накопительные!G$2:G$34))^$B$39)</f>
        <v>1199.5517388429755</v>
      </c>
      <c r="H11">
        <f>IF(накопительные!H11 = 0, 0,(накопительные!H11/SUM(накопительные!H$2:H$34))^$B$39)</f>
        <v>1345.0245446710719</v>
      </c>
      <c r="I11">
        <f>IF(накопительные!I11 = 0, 0,(накопительные!I11/SUM(накопительные!I$2:I$34))^$B$39)</f>
        <v>1585.7943837977596</v>
      </c>
      <c r="J11">
        <f>IF(накопительные!J11 = 0, 0,(накопительные!J11/SUM(накопительные!J$2:J$34))^$B$39)</f>
        <v>2045.0323498994539</v>
      </c>
      <c r="K11">
        <f>IF(накопительные!K11 = 0, 0,(накопительные!K11/SUM(накопительные!K$2:K$34))^$B$39)</f>
        <v>2881.5060068945718</v>
      </c>
      <c r="L11">
        <f>IF(накопительные!L11 = 0, 0,(накопительные!L11/SUM(накопительные!L$2:L$34))^$B$39)</f>
        <v>3606.3078454467113</v>
      </c>
      <c r="M11">
        <f>IF(накопительные!M11 = 0, 0,(накопительные!M11/SUM(накопительные!M$2:M$34))^$B$39)</f>
        <v>4505.1399051996541</v>
      </c>
      <c r="N11">
        <f>IF(накопительные!N11 = 0, 0,(накопительные!N11/SUM(накопительные!N$2:N$34))^$B$39)</f>
        <v>5150.1300804366538</v>
      </c>
      <c r="O11">
        <f>IF(накопительные!O11 = 0, 0,(накопительные!O11/SUM(накопительные!O$2:O$34))^$B$39)</f>
        <v>6445.9125567365681</v>
      </c>
      <c r="P11">
        <f>IF(накопительные!P11 = 0, 0,(накопительные!P11/SUM(накопительные!P$2:P$34))^$B$39)</f>
        <v>7503.9640361964975</v>
      </c>
      <c r="Q11">
        <f>IF(накопительные!Q11 = 0, 0,(накопительные!Q11/SUM(накопительные!Q$2:Q$34))^$B$39)</f>
        <v>8762.5465124964139</v>
      </c>
      <c r="R11">
        <f>IF(накопительные!R11 = 0, 0,(накопительные!R11/SUM(накопительные!R$2:R$34))^$B$39)</f>
        <v>10870.713085320309</v>
      </c>
      <c r="S11">
        <f>IF(накопительные!S11 = 0, 0,(накопительные!S11/SUM(накопительные!S$2:S$34))^$B$39)</f>
        <v>11671.323182993387</v>
      </c>
      <c r="T11">
        <f>IF(накопительные!T11 = 0, 0,(накопительные!T11/SUM(накопительные!T$2:T$34))^$B$39)</f>
        <v>12497.345156564195</v>
      </c>
    </row>
    <row r="12" spans="1:20" x14ac:dyDescent="0.25">
      <c r="A12" t="s">
        <v>30</v>
      </c>
      <c r="B12">
        <f>IF(накопительные!B12 = 0, 0,(накопительные!B12/SUM(накопительные!B$2:B$34))^$B$39)</f>
        <v>0</v>
      </c>
      <c r="C12">
        <f>IF(накопительные!C12 = 0, 0,(накопительные!C12/SUM(накопительные!C$2:C$34))^$B$39)</f>
        <v>0</v>
      </c>
      <c r="D12">
        <f>IF(накопительные!D12 = 0, 0,(накопительные!D12/SUM(накопительные!D$2:D$34))^$B$39)</f>
        <v>0</v>
      </c>
      <c r="E12">
        <f>IF(накопительные!E12 = 0, 0,(накопительные!E12/SUM(накопительные!E$2:E$34))^$B$39)</f>
        <v>0</v>
      </c>
      <c r="F12">
        <f>IF(накопительные!F12 = 0, 0,(накопительные!F12/SUM(накопительные!F$2:F$34))^$B$39)</f>
        <v>5829.6860770975054</v>
      </c>
      <c r="G12">
        <f>IF(накопительные!G12 = 0, 0,(накопительные!G12/SUM(накопительные!G$2:G$34))^$B$39)</f>
        <v>4314.6777764566004</v>
      </c>
      <c r="H12">
        <f>IF(накопительные!H12 = 0, 0,(накопительные!H12/SUM(накопительные!H$2:H$34))^$B$39)</f>
        <v>4299.3851606978897</v>
      </c>
      <c r="I12">
        <f>IF(накопительные!I12 = 0, 0,(накопительные!I12/SUM(накопительные!I$2:I$34))^$B$39)</f>
        <v>3822.8187326869811</v>
      </c>
      <c r="J12">
        <f>IF(накопительные!J12 = 0, 0,(накопительные!J12/SUM(накопительные!J$2:J$34))^$B$39)</f>
        <v>3850.0581990265</v>
      </c>
      <c r="K12">
        <f>IF(накопительные!K12 = 0, 0,(накопительные!K12/SUM(накопительные!K$2:K$34))^$B$39)</f>
        <v>4540.7525622453604</v>
      </c>
      <c r="L12">
        <f>IF(накопительные!L12 = 0, 0,(накопительные!L12/SUM(накопительные!L$2:L$34))^$B$39)</f>
        <v>5228.470474802165</v>
      </c>
      <c r="M12">
        <f>IF(накопительные!M12 = 0, 0,(накопительные!M12/SUM(накопительные!M$2:M$34))^$B$39)</f>
        <v>4661.8287782401876</v>
      </c>
      <c r="N12">
        <f>IF(накопительные!N12 = 0, 0,(накопительные!N12/SUM(накопительные!N$2:N$34))^$B$39)</f>
        <v>4115.6112970615204</v>
      </c>
      <c r="O12">
        <f>IF(накопительные!O12 = 0, 0,(накопительные!O12/SUM(накопительные!O$2:O$34))^$B$39)</f>
        <v>4514.5056305014805</v>
      </c>
      <c r="P12">
        <f>IF(накопительные!P12 = 0, 0,(накопительные!P12/SUM(накопительные!P$2:P$34))^$B$39)</f>
        <v>5181.769254116246</v>
      </c>
      <c r="Q12">
        <f>IF(накопительные!Q12 = 0, 0,(накопительные!Q12/SUM(накопительные!Q$2:Q$34))^$B$39)</f>
        <v>5883.9553260030889</v>
      </c>
      <c r="R12">
        <f>IF(накопительные!R12 = 0, 0,(накопительные!R12/SUM(накопительные!R$2:R$34))^$B$39)</f>
        <v>6382.3498482037412</v>
      </c>
      <c r="S12">
        <f>IF(накопительные!S12 = 0, 0,(накопительные!S12/SUM(накопительные!S$2:S$34))^$B$39)</f>
        <v>5557.6589035942652</v>
      </c>
      <c r="T12">
        <f>IF(накопительные!T12 = 0, 0,(накопительные!T12/SUM(накопительные!T$2:T$34))^$B$39)</f>
        <v>5814.1947261853011</v>
      </c>
    </row>
    <row r="13" spans="1:20" x14ac:dyDescent="0.25">
      <c r="A13" t="s">
        <v>31</v>
      </c>
      <c r="B13">
        <f>IF(накопительные!B13 = 0, 0,(накопительные!B13/SUM(накопительные!B$2:B$34))^$B$39)</f>
        <v>0</v>
      </c>
      <c r="C13">
        <f>IF(накопительные!C13 = 0, 0,(накопительные!C13/SUM(накопительные!C$2:C$34))^$B$39)</f>
        <v>0</v>
      </c>
      <c r="D13">
        <f>IF(накопительные!D13 = 0, 0,(накопительные!D13/SUM(накопительные!D$2:D$34))^$B$39)</f>
        <v>0</v>
      </c>
      <c r="E13">
        <f>IF(накопительные!E13 = 0, 0,(накопительные!E13/SUM(накопительные!E$2:E$34))^$B$39)</f>
        <v>0</v>
      </c>
      <c r="F13">
        <f>IF(накопительные!F13 = 0, 0,(накопительные!F13/SUM(накопительные!F$2:F$34))^$B$39)</f>
        <v>3279.198418367348</v>
      </c>
      <c r="G13">
        <f>IF(накопительные!G13 = 0, 0,(накопительные!G13/SUM(накопительные!G$2:G$34))^$B$39)</f>
        <v>1341.9541457100602</v>
      </c>
      <c r="H13">
        <f>IF(накопительные!H13 = 0, 0,(накопительные!H13/SUM(накопительные!H$2:H$34))^$B$39)</f>
        <v>1731.5201331360959</v>
      </c>
      <c r="I13">
        <f>IF(накопительные!I13 = 0, 0,(накопительные!I13/SUM(накопительные!I$2:I$34))^$B$39)</f>
        <v>764.03463667820108</v>
      </c>
      <c r="J13">
        <f>IF(накопительные!J13 = 0, 0,(накопительные!J13/SUM(накопительные!J$2:J$34))^$B$39)</f>
        <v>985.29517093425591</v>
      </c>
      <c r="K13">
        <f>IF(накопительные!K13 = 0, 0,(накопительные!K13/SUM(накопительные!K$2:K$34))^$B$39)</f>
        <v>575.67277376033098</v>
      </c>
      <c r="L13">
        <f>IF(накопительные!L13 = 0, 0,(накопительные!L13/SUM(накопительные!L$2:L$34))^$B$39)</f>
        <v>720.4750694444449</v>
      </c>
      <c r="M13">
        <f>IF(накопительные!M13 = 0, 0,(накопительные!M13/SUM(накопительные!M$2:M$34))^$B$39)</f>
        <v>900.04545511937567</v>
      </c>
      <c r="N13">
        <f>IF(накопительные!N13 = 0, 0,(накопительные!N13/SUM(накопительные!N$2:N$34))^$B$39)</f>
        <v>1028.902824265381</v>
      </c>
      <c r="O13">
        <f>IF(накопительные!O13 = 0, 0,(накопительные!O13/SUM(накопительные!O$2:O$34))^$B$39)</f>
        <v>1144.8072249999996</v>
      </c>
      <c r="P13">
        <f>IF(накопительные!P13 = 0, 0,(накопительные!P13/SUM(накопительные!P$2:P$34))^$B$39)</f>
        <v>1332.7193270408168</v>
      </c>
      <c r="Q13">
        <f>IF(накопительные!Q13 = 0, 0,(накопительные!Q13/SUM(накопительные!Q$2:Q$34))^$B$39)</f>
        <v>1556.2461433673484</v>
      </c>
      <c r="R13">
        <f>IF(накопительные!R13 = 0, 0,(накопительные!R13/SUM(накопительные!R$2:R$34))^$B$39)</f>
        <v>1916.9439216828555</v>
      </c>
      <c r="S13">
        <f>IF(накопительные!S13 = 0, 0,(накопительные!S13/SUM(накопительные!S$2:S$34))^$B$39)</f>
        <v>2029.1363857708291</v>
      </c>
      <c r="T13">
        <f>IF(накопительные!T13 = 0, 0,(накопительные!T13/SUM(накопительные!T$2:T$34))^$B$39)</f>
        <v>2172.745744858843</v>
      </c>
    </row>
    <row r="14" spans="1:20" x14ac:dyDescent="0.25">
      <c r="A14" t="s">
        <v>32</v>
      </c>
      <c r="B14">
        <f>IF(накопительные!B14 = 0, 0,(накопительные!B14/SUM(накопительные!B$2:B$34))^$B$39)</f>
        <v>186.63763313609468</v>
      </c>
      <c r="C14">
        <f>IF(накопительные!C14 = 0, 0,(накопительные!C14/SUM(накопительные!C$2:C$34))^$B$39)</f>
        <v>48.945113417916168</v>
      </c>
      <c r="D14">
        <f>IF(накопительные!D14 = 0, 0,(накопительные!D14/SUM(накопительные!D$2:D$34))^$B$39)</f>
        <v>33.000179997096801</v>
      </c>
      <c r="E14">
        <f>IF(накопительные!E14 = 0, 0,(накопительные!E14/SUM(накопительные!E$2:E$34))^$B$39)</f>
        <v>25.82745289757305</v>
      </c>
      <c r="F14">
        <f>IF(накопительные!F14 = 0, 0,(накопительные!F14/SUM(накопительные!F$2:F$34))^$B$39)</f>
        <v>33.265508514052065</v>
      </c>
      <c r="G14">
        <f>IF(накопительные!G14 = 0, 0,(накопительные!G14/SUM(накопительные!G$2:G$34))^$B$39)</f>
        <v>39.523837641189864</v>
      </c>
      <c r="H14">
        <f>IF(накопительные!H14 = 0, 0,(накопительные!H14/SUM(накопительные!H$2:H$34))^$B$39)</f>
        <v>44.877555042222234</v>
      </c>
      <c r="I14">
        <f>IF(накопительные!I14 = 0, 0,(накопительные!I14/SUM(накопительные!I$2:I$34))^$B$39)</f>
        <v>49.483221431388742</v>
      </c>
      <c r="J14">
        <f>IF(накопительные!J14 = 0, 0,(накопительные!J14/SUM(накопительные!J$2:J$34))^$B$39)</f>
        <v>41.13557235808063</v>
      </c>
      <c r="K14">
        <f>IF(накопительные!K14 = 0, 0,(накопительные!K14/SUM(накопительные!K$2:K$34))^$B$39)</f>
        <v>57.961136337370633</v>
      </c>
      <c r="L14">
        <f>IF(накопительные!L14 = 0, 0,(накопительные!L14/SUM(накопительные!L$2:L$34))^$B$39)</f>
        <v>72.366373353663249</v>
      </c>
      <c r="M14">
        <f>IF(накопительные!M14 = 0, 0,(накопительные!M14/SUM(накопительные!M$2:M$34))^$B$39)</f>
        <v>89.755225441267413</v>
      </c>
      <c r="N14">
        <f>IF(накопительные!N14 = 0, 0,(накопительные!N14/SUM(накопительные!N$2:N$34))^$B$39)</f>
        <v>102.11608962127123</v>
      </c>
      <c r="O14">
        <f>IF(накопительные!O14 = 0, 0,(накопительные!O14/SUM(накопительные!O$2:O$34))^$B$39)</f>
        <v>127.80869105325216</v>
      </c>
      <c r="P14">
        <f>IF(накопительные!P14 = 0, 0,(накопительные!P14/SUM(накопительные!P$2:P$34))^$B$39)</f>
        <v>130.73134248207049</v>
      </c>
      <c r="Q14">
        <f>IF(накопительные!Q14 = 0, 0,(накопительные!Q14/SUM(накопительные!Q$2:Q$34))^$B$39)</f>
        <v>142.28934412158489</v>
      </c>
      <c r="R14">
        <f>IF(накопительные!R14 = 0, 0,(накопительные!R14/SUM(накопительные!R$2:R$34))^$B$39)</f>
        <v>140.48415416485688</v>
      </c>
      <c r="S14">
        <f>IF(накопительные!S14 = 0, 0,(накопительные!S14/SUM(накопительные!S$2:S$34))^$B$39)</f>
        <v>150.54038226213291</v>
      </c>
      <c r="T14">
        <f>IF(накопительные!T14 = 0, 0,(накопительные!T14/SUM(накопительные!T$2:T$34))^$B$39)</f>
        <v>151.14101526149341</v>
      </c>
    </row>
    <row r="15" spans="1:20" x14ac:dyDescent="0.25">
      <c r="A15" t="s">
        <v>33</v>
      </c>
      <c r="B15">
        <f>IF(накопительные!B15 = 0, 0,(накопительные!B15/SUM(накопительные!B$2:B$34))^$B$39)</f>
        <v>1557.6177777777782</v>
      </c>
      <c r="C15">
        <f>IF(накопительные!C15 = 0, 0,(накопительные!C15/SUM(накопительные!C$2:C$34))^$B$39)</f>
        <v>1662.7753795918366</v>
      </c>
      <c r="D15">
        <f>IF(накопительные!D15 = 0, 0,(накопительные!D15/SUM(накопительные!D$2:D$34))^$B$39)</f>
        <v>2163.838096371207</v>
      </c>
      <c r="E15">
        <f>IF(накопительные!E15 = 0, 0,(накопительные!E15/SUM(накопительные!E$2:E$34))^$B$39)</f>
        <v>3361.8912396694222</v>
      </c>
      <c r="F15">
        <f>IF(накопительные!F15 = 0, 0,(накопительные!F15/SUM(накопительные!F$2:F$34))^$B$39)</f>
        <v>2675.2253485952137</v>
      </c>
      <c r="G15">
        <f>IF(накопительные!G15 = 0, 0,(накопительные!G15/SUM(накопительные!G$2:G$34))^$B$39)</f>
        <v>2158.6222546103522</v>
      </c>
      <c r="H15">
        <f>IF(накопительные!H15 = 0, 0,(накопительные!H15/SUM(накопительные!H$2:H$34))^$B$39)</f>
        <v>2418.4041528925636</v>
      </c>
      <c r="I15">
        <f>IF(накопительные!I15 = 0, 0,(накопительные!I15/SUM(накопительные!I$2:I$34))^$B$39)</f>
        <v>1965.1656283374873</v>
      </c>
      <c r="J15">
        <f>IF(накопительные!J15 = 0, 0,(накопительные!J15/SUM(накопительные!J$2:J$34))^$B$39)</f>
        <v>1232.4718853878119</v>
      </c>
      <c r="K15">
        <f>IF(накопительные!K15 = 0, 0,(накопительные!K15/SUM(накопительные!K$2:K$34))^$B$39)</f>
        <v>1648.672322485208</v>
      </c>
      <c r="L15">
        <f>IF(накопительные!L15 = 0, 0,(накопительные!L15/SUM(накопительные!L$2:L$34))^$B$39)</f>
        <v>1913.3604039018451</v>
      </c>
      <c r="M15">
        <f>IF(накопительные!M15 = 0, 0,(накопительные!M15/SUM(накопительные!M$2:M$34))^$B$39)</f>
        <v>2222.561225907029</v>
      </c>
      <c r="N15">
        <f>IF(накопительные!N15 = 0, 0,(накопительные!N15/SUM(накопительные!N$2:N$34))^$B$39)</f>
        <v>2481.3291086505178</v>
      </c>
      <c r="O15">
        <f>IF(накопительные!O15 = 0, 0,(накопительные!O15/SUM(накопительные!O$2:O$34))^$B$39)</f>
        <v>3083.8295856703253</v>
      </c>
      <c r="P15">
        <f>IF(накопительные!P15 = 0, 0,(накопительные!P15/SUM(накопительные!P$2:P$34))^$B$39)</f>
        <v>2495.9937861253743</v>
      </c>
      <c r="Q15">
        <f>IF(накопительные!Q15 = 0, 0,(накопительные!Q15/SUM(накопительные!Q$2:Q$34))^$B$39)</f>
        <v>2803.9208024275463</v>
      </c>
      <c r="R15">
        <f>IF(накопительные!R15 = 0, 0,(накопительные!R15/SUM(накопительные!R$2:R$34))^$B$39)</f>
        <v>2658.7724460020709</v>
      </c>
      <c r="S15">
        <f>IF(накопительные!S15 = 0, 0,(накопительные!S15/SUM(накопительные!S$2:S$34))^$B$39)</f>
        <v>2546.932393997125</v>
      </c>
      <c r="T15">
        <f>IF(накопительные!T15 = 0, 0,(накопительные!T15/SUM(накопительные!T$2:T$34))^$B$39)</f>
        <v>2341.6936384448222</v>
      </c>
    </row>
    <row r="16" spans="1:20" x14ac:dyDescent="0.25">
      <c r="A16" t="s">
        <v>34</v>
      </c>
      <c r="B16">
        <f>IF(накопительные!B16 = 0, 0,(накопительные!B16/SUM(накопительные!B$2:B$34))^$B$39)</f>
        <v>1971.3600000000004</v>
      </c>
      <c r="C16">
        <f>IF(накопительные!C16 = 0, 0,(накопительные!C16/SUM(накопительные!C$2:C$34))^$B$39)</f>
        <v>7956.6399999999994</v>
      </c>
      <c r="D16">
        <f>IF(накопительные!D16 = 0, 0,(накопительные!D16/SUM(накопительные!D$2:D$34))^$B$39)</f>
        <v>4639.5559183673458</v>
      </c>
      <c r="E16">
        <f>IF(накопительные!E16 = 0, 0,(накопительные!E16/SUM(накопительные!E$2:E$34))^$B$39)</f>
        <v>6356.0756250000013</v>
      </c>
      <c r="F16">
        <f>IF(накопительные!F16 = 0, 0,(накопительные!F16/SUM(накопительные!F$2:F$34))^$B$39)</f>
        <v>3056.9459690844233</v>
      </c>
      <c r="G16">
        <f>IF(накопительные!G16 = 0, 0,(накопительные!G16/SUM(накопительные!G$2:G$34))^$B$39)</f>
        <v>4314.6777764566014</v>
      </c>
      <c r="H16">
        <f>IF(накопительные!H16 = 0, 0,(накопительные!H16/SUM(накопительные!H$2:H$34))^$B$39)</f>
        <v>4872.0400000000018</v>
      </c>
      <c r="I16">
        <f>IF(накопительные!I16 = 0, 0,(накопительные!I16/SUM(накопительные!I$2:I$34))^$B$39)</f>
        <v>5069.0084940312217</v>
      </c>
      <c r="J16">
        <f>IF(накопительные!J16 = 0, 0,(накопительные!J16/SUM(накопительные!J$2:J$34))^$B$39)</f>
        <v>6419.7148590031466</v>
      </c>
      <c r="K16">
        <f>IF(накопительные!K16 = 0, 0,(накопительные!K16/SUM(накопительные!K$2:K$34))^$B$39)</f>
        <v>9045.5522279035849</v>
      </c>
      <c r="L16">
        <f>IF(накопительные!L16 = 0, 0,(накопительные!L16/SUM(накопительные!L$2:L$34))^$B$39)</f>
        <v>11320.832192552914</v>
      </c>
      <c r="M16">
        <f>IF(накопительные!M16 = 0, 0,(накопительные!M16/SUM(накопительные!M$2:M$34))^$B$39)</f>
        <v>14142.423513603693</v>
      </c>
      <c r="N16">
        <f>IF(накопительные!N16 = 0, 0,(накопительные!N16/SUM(накопительные!N$2:N$34))^$B$39)</f>
        <v>16167.160683205719</v>
      </c>
      <c r="O16">
        <f>IF(накопительные!O16 = 0, 0,(накопительные!O16/SUM(накопительные!O$2:O$34))^$B$39)</f>
        <v>20234.84891197503</v>
      </c>
      <c r="P16">
        <f>IF(накопительные!P16 = 0, 0,(накопительные!P16/SUM(накопительные!P$2:P$34))^$B$39)</f>
        <v>22202.737643328888</v>
      </c>
      <c r="Q16">
        <f>IF(накопительные!Q16 = 0, 0,(накопительные!Q16/SUM(накопительные!Q$2:Q$34))^$B$39)</f>
        <v>23148.406992539985</v>
      </c>
      <c r="R16">
        <f>IF(накопительные!R16 = 0, 0,(накопительные!R16/SUM(накопительные!R$2:R$34))^$B$39)</f>
        <v>28717.643945085707</v>
      </c>
      <c r="S16">
        <f>IF(накопительные!S16 = 0, 0,(накопительные!S16/SUM(накопительные!S$2:S$34))^$B$39)</f>
        <v>30832.651078781793</v>
      </c>
      <c r="T16">
        <f>IF(накопительные!T16 = 0, 0,(накопительные!T16/SUM(накопительные!T$2:T$34))^$B$39)</f>
        <v>21199.488565316322</v>
      </c>
    </row>
    <row r="17" spans="1:20" x14ac:dyDescent="0.25">
      <c r="A17" t="s">
        <v>35</v>
      </c>
      <c r="B17">
        <f>IF(накопительные!B17 = 0, 0,(накопительные!B17/SUM(накопительные!B$2:B$34))^$B$39)</f>
        <v>0</v>
      </c>
      <c r="C17">
        <f>IF(накопительные!C17 = 0, 0,(накопительные!C17/SUM(накопительные!C$2:C$34))^$B$39)</f>
        <v>0</v>
      </c>
      <c r="D17">
        <f>IF(накопительные!D17 = 0, 0,(накопительные!D17/SUM(накопительные!D$2:D$34))^$B$39)</f>
        <v>0</v>
      </c>
      <c r="E17">
        <f>IF(накопительные!E17 = 0, 0,(накопительные!E17/SUM(накопительные!E$2:E$34))^$B$39)</f>
        <v>0</v>
      </c>
      <c r="F17">
        <f>IF(накопительные!F17 = 0, 0,(накопительные!F17/SUM(накопительные!F$2:F$34))^$B$39)</f>
        <v>285654.61777777778</v>
      </c>
      <c r="G17">
        <f>IF(накопительные!G17 = 0, 0,(накопительные!G17/SUM(накопительные!G$2:G$34))^$B$39)</f>
        <v>403182.667777778</v>
      </c>
      <c r="H17">
        <f>IF(накопительные!H17 = 0, 0,(накопительные!H17/SUM(накопительные!H$2:H$34))^$B$39)</f>
        <v>520225.60444444476</v>
      </c>
      <c r="I17">
        <f>IF(накопительные!I17 = 0, 0,(накопительные!I17/SUM(накопительные!I$2:I$34))^$B$39)</f>
        <v>613350.02777777822</v>
      </c>
      <c r="J17">
        <f>IF(накопительные!J17 = 0, 0,(накопительные!J17/SUM(накопительные!J$2:J$34))^$B$39)</f>
        <v>790973.06777777779</v>
      </c>
      <c r="K17">
        <f>IF(накопительные!K17 = 0, 0,(накопительные!K17/SUM(накопительные!K$2:K$34))^$B$39)</f>
        <v>1114502.4900000007</v>
      </c>
      <c r="L17">
        <f>IF(накопительные!L17 = 0, 0,(накопительные!L17/SUM(накопительные!L$2:L$34))^$B$39)</f>
        <v>1394839.734444445</v>
      </c>
      <c r="M17">
        <f>IF(накопительные!M17 = 0, 0,(накопительные!M17/SUM(накопительные!M$2:M$34))^$B$39)</f>
        <v>1742488.0011111114</v>
      </c>
      <c r="N17">
        <f>IF(накопительные!N17 = 0, 0,(накопительные!N17/SUM(накопительные!N$2:N$34))^$B$39)</f>
        <v>1991955.8677777774</v>
      </c>
      <c r="O17">
        <f>IF(накопительные!O17 = 0, 0,(накопительные!O17/SUM(накопительные!O$2:O$34))^$B$39)</f>
        <v>2493135.7344444441</v>
      </c>
      <c r="P17">
        <f>IF(накопительные!P17 = 0, 0,(накопительные!P17/SUM(накопительные!P$2:P$34))^$B$39)</f>
        <v>408145.2939062501</v>
      </c>
      <c r="Q17">
        <f>IF(накопительные!Q17 = 0, 0,(накопительные!Q17/SUM(накопительные!Q$2:Q$34))^$B$39)</f>
        <v>476600.38140625029</v>
      </c>
      <c r="R17">
        <f>IF(накопительные!R17 = 0, 0,(накопительные!R17/SUM(накопительные!R$2:R$34))^$B$39)</f>
        <v>179980.74791914382</v>
      </c>
      <c r="S17">
        <f>IF(накопительные!S17 = 0, 0,(накопительные!S17/SUM(накопительные!S$2:S$34))^$B$39)</f>
        <v>193236.03329369781</v>
      </c>
      <c r="T17">
        <f>IF(накопительные!T17 = 0, 0,(накопительные!T17/SUM(накопительные!T$2:T$34))^$B$39)</f>
        <v>206912.04989298433</v>
      </c>
    </row>
    <row r="18" spans="1:20" x14ac:dyDescent="0.25">
      <c r="A18" t="s">
        <v>36</v>
      </c>
      <c r="B18">
        <f>IF(накопительные!B18 = 0, 0,(накопительные!B18/SUM(накопительные!B$2:B$34))^$B$39)</f>
        <v>0</v>
      </c>
      <c r="C18">
        <f>IF(накопительные!C18 = 0, 0,(накопительные!C18/SUM(накопительные!C$2:C$34))^$B$39)</f>
        <v>0</v>
      </c>
      <c r="D18">
        <f>IF(накопительные!D18 = 0, 0,(накопительные!D18/SUM(накопительные!D$2:D$34))^$B$39)</f>
        <v>909352.95999999961</v>
      </c>
      <c r="E18">
        <f>IF(накопительные!E18 = 0, 0,(накопительные!E18/SUM(накопительные!E$2:E$34))^$B$39)</f>
        <v>260344.85759999996</v>
      </c>
      <c r="F18">
        <f>IF(накопительные!F18 = 0, 0,(накопительные!F18/SUM(накопительные!F$2:F$34))^$B$39)</f>
        <v>327919.84183673467</v>
      </c>
      <c r="G18">
        <f>IF(накопительные!G18 = 0, 0,(накопительные!G18/SUM(накопительные!G$2:G$34))^$B$39)</f>
        <v>462837.24617346952</v>
      </c>
      <c r="H18">
        <f>IF(накопительные!H18 = 0, 0,(накопительные!H18/SUM(накопительные!H$2:H$34))^$B$39)</f>
        <v>324240.33518005558</v>
      </c>
      <c r="I18">
        <f>IF(накопительные!I18 = 0, 0,(накопительные!I18/SUM(накопительные!I$2:I$34))^$B$39)</f>
        <v>382281.87326869817</v>
      </c>
      <c r="J18">
        <f>IF(накопительные!J18 = 0, 0,(накопительные!J18/SUM(накопительные!J$2:J$34))^$B$39)</f>
        <v>153952.37045847756</v>
      </c>
      <c r="K18">
        <f>IF(накопительные!K18 = 0, 0,(накопительные!K18/SUM(накопительные!K$2:K$34))^$B$39)</f>
        <v>216923.06250000017</v>
      </c>
      <c r="L18">
        <f>IF(накопительные!L18 = 0, 0,(накопительные!L18/SUM(накопительные!L$2:L$34))^$B$39)</f>
        <v>271486.97253460222</v>
      </c>
      <c r="M18">
        <f>IF(накопительные!M18 = 0, 0,(накопительные!M18/SUM(накопительные!M$2:M$34))^$B$39)</f>
        <v>134451.2346536351</v>
      </c>
      <c r="N18">
        <f>IF(накопительные!N18 = 0, 0,(накопительные!N18/SUM(накопительные!N$2:N$34))^$B$39)</f>
        <v>109421.40386962883</v>
      </c>
      <c r="O18">
        <f>IF(накопительные!O18 = 0, 0,(накопительные!O18/SUM(накопительные!O$2:O$34))^$B$39)</f>
        <v>136952.0361938476</v>
      </c>
      <c r="P18">
        <f>IF(накопительные!P18 = 0, 0,(накопительные!P18/SUM(накопительные!P$2:P$34))^$B$39)</f>
        <v>159431.75543212896</v>
      </c>
      <c r="Q18">
        <f>IF(накопительные!Q18 = 0, 0,(накопительные!Q18/SUM(накопительные!Q$2:Q$34))^$B$39)</f>
        <v>186172.02398681649</v>
      </c>
      <c r="R18">
        <f>IF(накопительные!R18 = 0, 0,(накопительные!R18/SUM(накопительные!R$2:R$34))^$B$39)</f>
        <v>230962.84332275391</v>
      </c>
      <c r="S18">
        <f>IF(накопительные!S18 = 0, 0,(накопительные!S18/SUM(накопительные!S$2:S$34))^$B$39)</f>
        <v>247972.87597656233</v>
      </c>
      <c r="T18">
        <f>IF(накопительные!T18 = 0, 0,(накопительные!T18/SUM(накопительные!T$2:T$34))^$B$39)</f>
        <v>245933.96172762717</v>
      </c>
    </row>
    <row r="19" spans="1:20" x14ac:dyDescent="0.25">
      <c r="A19" t="s">
        <v>37</v>
      </c>
      <c r="B19">
        <f>IF(накопительные!B19 = 0, 0,(накопительные!B19/SUM(накопительные!B$2:B$34))^$B$39)</f>
        <v>126167.04000000002</v>
      </c>
      <c r="C19">
        <f>IF(накопительные!C19 = 0, 0,(накопительные!C19/SUM(накопительные!C$2:C$34))^$B$39)</f>
        <v>2036899.8399999999</v>
      </c>
      <c r="D19">
        <f>IF(накопительные!D19 = 0, 0,(накопительные!D19/SUM(накопительные!D$2:D$34))^$B$39)</f>
        <v>74232.894693877533</v>
      </c>
      <c r="E19">
        <f>IF(накопительные!E19 = 0, 0,(накопительные!E19/SUM(накопительные!E$2:E$34))^$B$39)</f>
        <v>101697.21000000002</v>
      </c>
      <c r="F19">
        <f>IF(накопительные!F19 = 0, 0,(накопительные!F19/SUM(накопительные!F$2:F$34))^$B$39)</f>
        <v>3056.9459690844233</v>
      </c>
      <c r="G19">
        <f>IF(накопительные!G19 = 0, 0,(накопительные!G19/SUM(накопительные!G$2:G$34))^$B$39)</f>
        <v>1874.2995919421494</v>
      </c>
      <c r="H19">
        <f>IF(накопительные!H19 = 0, 0,(накопительные!H19/SUM(накопительные!H$2:H$34))^$B$39)</f>
        <v>1990.4476309916042</v>
      </c>
      <c r="I19">
        <f>IF(накопительные!I19 = 0, 0,(накопительные!I19/SUM(накопительные!I$2:I$34))^$B$39)</f>
        <v>2002.7756009070295</v>
      </c>
      <c r="J19">
        <f>IF(накопительные!J19 = 0, 0,(накопительные!J19/SUM(накопительные!J$2:J$34))^$B$39)</f>
        <v>1126.3411431509828</v>
      </c>
      <c r="K19">
        <f>IF(накопительные!K19 = 0, 0,(накопительные!K19/SUM(накопительные!K$2:K$34))^$B$39)</f>
        <v>157.32610387216948</v>
      </c>
      <c r="L19">
        <f>IF(накопительные!L19 = 0, 0,(накопительные!L19/SUM(накопительные!L$2:L$34))^$B$39)</f>
        <v>94.486933526017012</v>
      </c>
      <c r="M19">
        <f>IF(накопительные!M19 = 0, 0,(накопительные!M19/SUM(накопительные!M$2:M$34))^$B$39)</f>
        <v>67.924354768326864</v>
      </c>
      <c r="N19">
        <f>IF(накопительные!N19 = 0, 0,(накопительные!N19/SUM(накопительные!N$2:N$34))^$B$39)</f>
        <v>63.701762017409251</v>
      </c>
      <c r="O19">
        <f>IF(накопительные!O19 = 0, 0,(накопительные!O19/SUM(накопительные!O$2:O$34))^$B$39)</f>
        <v>38.191271241216803</v>
      </c>
      <c r="P19">
        <f>IF(накопительные!P19 = 0, 0,(накопительные!P19/SUM(накопительные!P$2:P$34))^$B$39)</f>
        <v>41.174013916030155</v>
      </c>
      <c r="Q19">
        <f>IF(накопительные!Q19 = 0, 0,(накопительные!Q19/SUM(накопительные!Q$2:Q$34))^$B$39)</f>
        <v>47.245733658244568</v>
      </c>
      <c r="R19">
        <f>IF(накопительные!R19 = 0, 0,(накопительные!R19/SUM(накопительные!R$2:R$34))^$B$39)</f>
        <v>58.612506578058259</v>
      </c>
      <c r="S19">
        <f>IF(накопительные!S19 = 0, 0,(накопительные!S19/SUM(накопительные!S$2:S$34))^$B$39)</f>
        <v>62.307317811921848</v>
      </c>
      <c r="T19">
        <f>IF(накопительные!T19 = 0, 0,(накопительные!T19/SUM(накопительные!T$2:T$34))^$B$39)</f>
        <v>66.552096237831677</v>
      </c>
    </row>
    <row r="20" spans="1:20" x14ac:dyDescent="0.25">
      <c r="A20" t="s">
        <v>38</v>
      </c>
      <c r="B20">
        <f>IF(накопительные!B20 = 0, 0,(накопительные!B20/SUM(накопительные!B$2:B$34))^$B$39)</f>
        <v>350464.00000000006</v>
      </c>
      <c r="C20">
        <f>IF(накопительные!C20 = 0, 0,(накопительные!C20/SUM(накопительные!C$2:C$34))^$B$39)</f>
        <v>5658055.1111111119</v>
      </c>
      <c r="D20">
        <f>IF(накопительные!D20 = 0, 0,(накопительные!D20/SUM(накопительные!D$2:D$34))^$B$39)</f>
        <v>1420863.9999999993</v>
      </c>
      <c r="E20">
        <f>IF(накопительные!E20 = 0, 0,(накопительные!E20/SUM(накопительные!E$2:E$34))^$B$39)</f>
        <v>2542430.25</v>
      </c>
      <c r="F20">
        <f>IF(накопительные!F20 = 0, 0,(накопительные!F20/SUM(накопительные!F$2:F$34))^$B$39)</f>
        <v>1521237.6094674557</v>
      </c>
      <c r="G20">
        <f>IF(накопительные!G20 = 0, 0,(накопительные!G20/SUM(накопительные!G$2:G$34))^$B$39)</f>
        <v>41954.491964388959</v>
      </c>
      <c r="H20">
        <f>IF(накопительные!H20 = 0, 0,(накопительные!H20/SUM(накопительные!H$2:H$34))^$B$39)</f>
        <v>54133.777777777803</v>
      </c>
      <c r="I20">
        <f>IF(накопительные!I20 = 0, 0,(накопительные!I20/SUM(накопительные!I$2:I$34))^$B$39)</f>
        <v>36487.211646506716</v>
      </c>
      <c r="J20">
        <f>IF(накопительные!J20 = 0, 0,(накопительные!J20/SUM(накопительные!J$2:J$34))^$B$39)</f>
        <v>47053.722056976665</v>
      </c>
      <c r="K20">
        <f>IF(накопительные!K20 = 0, 0,(накопительные!K20/SUM(накопительные!K$2:K$34))^$B$39)</f>
        <v>66299.969660916162</v>
      </c>
      <c r="L20">
        <f>IF(накопительные!L20 = 0, 0,(накопительные!L20/SUM(накопительные!L$2:L$34))^$B$39)</f>
        <v>82976.783726617781</v>
      </c>
      <c r="M20">
        <f>IF(накопительные!M20 = 0, 0,(накопительные!M20/SUM(накопительные!M$2:M$34))^$B$39)</f>
        <v>82348.204211300166</v>
      </c>
      <c r="N20">
        <f>IF(накопительные!N20 = 0, 0,(накопительные!N20/SUM(накопительные!N$2:N$34))^$B$39)</f>
        <v>94137.800934677565</v>
      </c>
      <c r="O20">
        <f>IF(накопительные!O20 = 0, 0,(накопительные!O20/SUM(накопительные!O$2:O$34))^$B$39)</f>
        <v>102438.92261687361</v>
      </c>
      <c r="P20">
        <f>IF(накопительные!P20 = 0, 0,(накопительные!P20/SUM(накопительные!P$2:P$34))^$B$39)</f>
        <v>111586.56418471533</v>
      </c>
      <c r="Q20">
        <f>IF(накопительные!Q20 = 0, 0,(накопительные!Q20/SUM(накопительные!Q$2:Q$34))^$B$39)</f>
        <v>114804.56325040468</v>
      </c>
      <c r="R20">
        <f>IF(накопительные!R20 = 0, 0,(накопительные!R20/SUM(накопительные!R$2:R$34))^$B$39)</f>
        <v>142425.20324438252</v>
      </c>
      <c r="S20">
        <f>IF(накопительные!S20 = 0, 0,(накопительные!S20/SUM(накопительные!S$2:S$34))^$B$39)</f>
        <v>152914.58466634038</v>
      </c>
      <c r="T20">
        <f>IF(накопительные!T20 = 0, 0,(накопительные!T20/SUM(накопительные!T$2:T$34))^$B$39)</f>
        <v>163736.90575482693</v>
      </c>
    </row>
    <row r="21" spans="1:20" x14ac:dyDescent="0.25">
      <c r="A21" t="s">
        <v>39</v>
      </c>
      <c r="B21">
        <f>IF(накопительные!B21 = 0, 0,(накопительные!B21/SUM(накопительные!B$2:B$34))^$B$39)</f>
        <v>3504.6400000000008</v>
      </c>
      <c r="C21">
        <f>IF(накопительные!C21 = 0, 0,(накопительные!C21/SUM(накопительные!C$2:C$34))^$B$39)</f>
        <v>7956.6399999999994</v>
      </c>
      <c r="D21">
        <f>IF(накопительные!D21 = 0, 0,(накопительные!D21/SUM(накопительные!D$2:D$34))^$B$39)</f>
        <v>1010.3921777777776</v>
      </c>
      <c r="E21">
        <f>IF(накопительные!E21 = 0, 0,(накопительные!E21/SUM(накопительные!E$2:E$34))^$B$39)</f>
        <v>1255.5211111111109</v>
      </c>
      <c r="F21">
        <f>IF(накопительные!F21 = 0, 0,(накопительные!F21/SUM(накопительные!F$2:F$34))^$B$39)</f>
        <v>1070.7586672219909</v>
      </c>
      <c r="G21">
        <f>IF(накопительные!G21 = 0, 0,(накопительные!G21/SUM(накопительные!G$2:G$34))^$B$39)</f>
        <v>1157.0931154336736</v>
      </c>
      <c r="H21">
        <f>IF(накопительные!H21 = 0, 0,(накопительные!H21/SUM(накопительные!H$2:H$34))^$B$39)</f>
        <v>1322.5140710401815</v>
      </c>
      <c r="I21">
        <f>IF(накопительные!I21 = 0, 0,(накопительные!I21/SUM(накопительные!I$2:I$34))^$B$39)</f>
        <v>1543.6489105267281</v>
      </c>
      <c r="J21">
        <f>IF(накопительные!J21 = 0, 0,(накопительные!J21/SUM(накопительные!J$2:J$34))^$B$39)</f>
        <v>1503.9289839947267</v>
      </c>
      <c r="K21">
        <f>IF(накопительные!K21 = 0, 0,(накопительные!K21/SUM(накопительные!K$2:K$34))^$B$39)</f>
        <v>2058.7931154095622</v>
      </c>
      <c r="L21">
        <f>IF(накопительные!L21 = 0, 0,(накопительные!L21/SUM(накопительные!L$2:L$34))^$B$39)</f>
        <v>2540.131322982787</v>
      </c>
      <c r="M21">
        <f>IF(накопительные!M21 = 0, 0,(накопительные!M21/SUM(накопительные!M$2:M$34))^$B$39)</f>
        <v>3173.2307606700801</v>
      </c>
      <c r="N21">
        <f>IF(накопительные!N21 = 0, 0,(накопительные!N21/SUM(накопительные!N$2:N$34))^$B$39)</f>
        <v>3627.5346685309228</v>
      </c>
      <c r="O21">
        <f>IF(накопительные!O21 = 0, 0,(накопительные!O21/SUM(накопительные!O$2:O$34))^$B$39)</f>
        <v>3957.2954944277767</v>
      </c>
      <c r="P21">
        <f>IF(накопительные!P21 = 0, 0,(накопительные!P21/SUM(накопительные!P$2:P$34))^$B$39)</f>
        <v>3856.5156386335161</v>
      </c>
      <c r="Q21">
        <f>IF(накопительные!Q21 = 0, 0,(накопительные!Q21/SUM(накопительные!Q$2:Q$34))^$B$39)</f>
        <v>3740.7515013937796</v>
      </c>
      <c r="R21">
        <f>IF(накопительные!R21 = 0, 0,(накопительные!R21/SUM(накопительные!R$2:R$34))^$B$39)</f>
        <v>3761.492417065851</v>
      </c>
      <c r="S21">
        <f>IF(накопительные!S21 = 0, 0,(накопительные!S21/SUM(накопительные!S$2:S$34))^$B$39)</f>
        <v>3734.6981060790586</v>
      </c>
      <c r="T21">
        <f>IF(накопительные!T21 = 0, 0,(накопительные!T21/SUM(накопительные!T$2:T$34))^$B$39)</f>
        <v>3216.3430102272023</v>
      </c>
    </row>
    <row r="22" spans="1:20" x14ac:dyDescent="0.25">
      <c r="A22" t="s">
        <v>40</v>
      </c>
      <c r="B22">
        <f>IF(накопительные!B22 = 0, 0,(накопительные!B22/SUM(накопительные!B$2:B$34))^$B$39)</f>
        <v>0</v>
      </c>
      <c r="C22">
        <f>IF(накопительные!C22 = 0, 0,(накопительные!C22/SUM(накопительные!C$2:C$34))^$B$39)</f>
        <v>0</v>
      </c>
      <c r="D22">
        <f>IF(накопительные!D22 = 0, 0,(накопительные!D22/SUM(накопительные!D$2:D$34))^$B$39)</f>
        <v>0</v>
      </c>
      <c r="E22">
        <f>IF(накопительные!E22 = 0, 0,(накопительные!E22/SUM(накопительные!E$2:E$34))^$B$39)</f>
        <v>0</v>
      </c>
      <c r="F22">
        <f>IF(накопительные!F22 = 0, 0,(накопительные!F22/SUM(накопительные!F$2:F$34))^$B$39)</f>
        <v>64272288.999999993</v>
      </c>
      <c r="G22">
        <f>IF(накопительные!G22 = 0, 0,(накопительные!G22/SUM(накопительные!G$2:G$34))^$B$39)</f>
        <v>7405395.9387755124</v>
      </c>
      <c r="H22">
        <f>IF(накопительные!H22 = 0, 0,(накопительные!H22/SUM(накопительные!H$2:H$34))^$B$39)</f>
        <v>642253.83264746249</v>
      </c>
      <c r="I22">
        <f>IF(накопительные!I22 = 0, 0,(накопительные!I22/SUM(накопительные!I$2:I$34))^$B$39)</f>
        <v>757222.25651577534</v>
      </c>
      <c r="J22">
        <f>IF(накопительные!J22 = 0, 0,(накопительные!J22/SUM(накопительные!J$2:J$34))^$B$39)</f>
        <v>94051.494384991427</v>
      </c>
      <c r="K22">
        <f>IF(накопительные!K22 = 0, 0,(накопительные!K22/SUM(накопительные!K$2:K$34))^$B$39)</f>
        <v>132521.10463733657</v>
      </c>
      <c r="L22">
        <f>IF(накопительные!L22 = 0, 0,(накопительные!L22/SUM(накопительные!L$2:L$34))^$B$39)</f>
        <v>165854.90302549879</v>
      </c>
      <c r="M22">
        <f>IF(накопительные!M22 = 0, 0,(накопительные!M22/SUM(накопительные!M$2:M$34))^$B$39)</f>
        <v>207192.39014400847</v>
      </c>
      <c r="N22">
        <f>IF(накопительные!N22 = 0, 0,(накопительные!N22/SUM(накопительные!N$2:N$34))^$B$39)</f>
        <v>236855.63231602579</v>
      </c>
      <c r="O22">
        <f>IF(накопительные!O22 = 0, 0,(накопительные!O22/SUM(накопительные!O$2:O$34))^$B$39)</f>
        <v>296448.95772228821</v>
      </c>
      <c r="P22">
        <f>IF(накопительные!P22 = 0, 0,(накопительные!P22/SUM(накопительные!P$2:P$34))^$B$39)</f>
        <v>345108.9815035013</v>
      </c>
      <c r="Q22">
        <f>IF(накопительные!Q22 = 0, 0,(накопительные!Q22/SUM(накопительные!Q$2:Q$34))^$B$39)</f>
        <v>402991.47060377884</v>
      </c>
      <c r="R22">
        <f>IF(накопительные!R22 = 0, 0,(накопительные!R22/SUM(накопительные!R$2:R$34))^$B$39)</f>
        <v>499946.52199762181</v>
      </c>
      <c r="S22">
        <f>IF(накопительные!S22 = 0, 0,(накопительные!S22/SUM(накопительные!S$2:S$34))^$B$39)</f>
        <v>536766.75914916082</v>
      </c>
      <c r="T22">
        <f>IF(накопительные!T22 = 0, 0,(накопительные!T22/SUM(накопительные!T$2:T$34))^$B$39)</f>
        <v>574755.6941471789</v>
      </c>
    </row>
    <row r="23" spans="1:20" x14ac:dyDescent="0.25">
      <c r="A23" t="s">
        <v>41</v>
      </c>
      <c r="B23">
        <f>IF(накопительные!B23 = 0, 0,(накопительные!B23/SUM(накопительные!B$2:B$34))^$B$39)</f>
        <v>0</v>
      </c>
      <c r="C23">
        <f>IF(накопительные!C23 = 0, 0,(накопительные!C23/SUM(накопительные!C$2:C$34))^$B$39)</f>
        <v>31826.559999999998</v>
      </c>
      <c r="D23">
        <f>IF(накопительные!D23 = 0, 0,(накопительные!D23/SUM(накопительные!D$2:D$34))^$B$39)</f>
        <v>25259.804444444428</v>
      </c>
      <c r="E23">
        <f>IF(накопительные!E23 = 0, 0,(накопительные!E23/SUM(накопительные!E$2:E$34))^$B$39)</f>
        <v>11299.689999999997</v>
      </c>
      <c r="F23">
        <f>IF(накопительные!F23 = 0, 0,(накопительные!F23/SUM(накопительные!F$2:F$34))^$B$39)</f>
        <v>17853.413611111107</v>
      </c>
      <c r="G23">
        <f>IF(накопительные!G23 = 0, 0,(накопительные!G23/SUM(накопительные!G$2:G$34))^$B$39)</f>
        <v>21471.266331360945</v>
      </c>
      <c r="H23">
        <f>IF(накопительные!H23 = 0, 0,(накопительные!H23/SUM(накопительные!H$2:H$34))^$B$39)</f>
        <v>20809.024177777781</v>
      </c>
      <c r="I23">
        <f>IF(накопительные!I23 = 0, 0,(накопительные!I23/SUM(накопительные!I$2:I$34))^$B$39)</f>
        <v>21563.086914062496</v>
      </c>
      <c r="J23">
        <f>IF(накопительные!J23 = 0, 0,(накопительные!J23/SUM(накопительные!J$2:J$34))^$B$39)</f>
        <v>26793.472129173082</v>
      </c>
      <c r="K23">
        <f>IF(накопительные!K23 = 0, 0,(накопительные!K23/SUM(накопительные!K$2:K$34))^$B$39)</f>
        <v>37752.728405284368</v>
      </c>
      <c r="L23">
        <f>IF(накопительные!L23 = 0, 0,(накопительные!L23/SUM(накопительные!L$2:L$34))^$B$39)</f>
        <v>47248.890097482021</v>
      </c>
      <c r="M23">
        <f>IF(накопительные!M23 = 0, 0,(накопительные!M23/SUM(накопительные!M$2:M$34))^$B$39)</f>
        <v>59025.149648086081</v>
      </c>
      <c r="N23">
        <f>IF(накопительные!N23 = 0, 0,(накопительные!N23/SUM(накопительные!N$2:N$34))^$B$39)</f>
        <v>67475.640069253597</v>
      </c>
      <c r="O23">
        <f>IF(накопительные!O23 = 0, 0,(накопительные!O23/SUM(накопительные!O$2:O$34))^$B$39)</f>
        <v>84452.638827204588</v>
      </c>
      <c r="P23">
        <f>IF(накопительные!P23 = 0, 0,(накопительные!P23/SUM(накопительные!P$2:P$34))^$B$39)</f>
        <v>98314.949038352963</v>
      </c>
      <c r="Q23">
        <f>IF(накопительные!Q23 = 0, 0,(накопительные!Q23/SUM(накопительные!Q$2:Q$34))^$B$39)</f>
        <v>114804.56325040465</v>
      </c>
      <c r="R23">
        <f>IF(накопительные!R23 = 0, 0,(накопительные!R23/SUM(накопительные!R$2:R$34))^$B$39)</f>
        <v>142425.20324438249</v>
      </c>
      <c r="S23">
        <f>IF(накопительные!S23 = 0, 0,(накопительные!S23/SUM(накопительные!S$2:S$34))^$B$39)</f>
        <v>152914.58466634035</v>
      </c>
      <c r="T23">
        <f>IF(накопительные!T23 = 0, 0,(накопительные!T23/SUM(накопительные!T$2:T$34))^$B$39)</f>
        <v>116790.40642701805</v>
      </c>
    </row>
    <row r="24" spans="1:20" x14ac:dyDescent="0.25">
      <c r="A24" t="s">
        <v>42</v>
      </c>
      <c r="B24">
        <f>IF(накопительные!B24 = 0, 0,(накопительные!B24/SUM(накопительные!B$2:B$34))^$B$39)</f>
        <v>0</v>
      </c>
      <c r="C24">
        <f>IF(накопительные!C24 = 0, 0,(накопительные!C24/SUM(накопительные!C$2:C$34))^$B$39)</f>
        <v>0</v>
      </c>
      <c r="D24">
        <f>IF(накопительные!D24 = 0, 0,(накопительные!D24/SUM(накопительные!D$2:D$34))^$B$39)</f>
        <v>0</v>
      </c>
      <c r="E24">
        <f>IF(накопительные!E24 = 0, 0,(накопительные!E24/SUM(накопительные!E$2:E$34))^$B$39)</f>
        <v>0</v>
      </c>
      <c r="F24">
        <f>IF(накопительные!F24 = 0, 0,(накопительные!F24/SUM(накопительные!F$2:F$34))^$B$39)</f>
        <v>1457.4215192743764</v>
      </c>
      <c r="G24">
        <f>IF(накопительные!G24 = 0, 0,(накопительные!G24/SUM(накопительные!G$2:G$34))^$B$39)</f>
        <v>410.66591330918976</v>
      </c>
      <c r="H24">
        <f>IF(накопительные!H24 = 0, 0,(накопительные!H24/SUM(накопительные!H$2:H$34))^$B$39)</f>
        <v>529.88121774558647</v>
      </c>
      <c r="I24">
        <f>IF(накопительные!I24 = 0, 0,(накопительные!I24/SUM(накопительные!I$2:I$34))^$B$39)</f>
        <v>223.95027181630095</v>
      </c>
      <c r="J24">
        <f>IF(накопительные!J24 = 0, 0,(накопительные!J24/SUM(накопительные!J$2:J$34))^$B$39)</f>
        <v>258.33784330091453</v>
      </c>
      <c r="K24">
        <f>IF(накопительные!K24 = 0, 0,(накопительные!K24/SUM(накопительные!K$2:K$34))^$B$39)</f>
        <v>364.00502286253482</v>
      </c>
      <c r="L24">
        <f>IF(накопительные!L24 = 0, 0,(накопительные!L24/SUM(накопительные!L$2:L$34))^$B$39)</f>
        <v>455.56530737407479</v>
      </c>
      <c r="M24">
        <f>IF(накопительные!M24 = 0, 0,(накопительные!M24/SUM(накопительные!M$2:M$34))^$B$39)</f>
        <v>569.10988568732773</v>
      </c>
      <c r="N24">
        <f>IF(накопительные!N24 = 0, 0,(накопительные!N24/SUM(накопительные!N$2:N$34))^$B$39)</f>
        <v>650.58799571781083</v>
      </c>
      <c r="O24">
        <f>IF(накопительные!O24 = 0, 0,(накопительные!O24/SUM(накопительные!O$2:O$34))^$B$39)</f>
        <v>814.27716686021188</v>
      </c>
      <c r="P24">
        <f>IF(накопительные!P24 = 0, 0,(накопительные!P24/SUM(накопительные!P$2:P$34))^$B$39)</f>
        <v>947.9350707649885</v>
      </c>
      <c r="Q24">
        <f>IF(накопительные!Q24 = 0, 0,(накопительные!Q24/SUM(накопительные!Q$2:Q$34))^$B$39)</f>
        <v>1106.9249677021348</v>
      </c>
      <c r="R24">
        <f>IF(накопительные!R24 = 0, 0,(накопительные!R24/SUM(накопительные!R$2:R$34))^$B$39)</f>
        <v>1324.916923427051</v>
      </c>
      <c r="S24">
        <f>IF(накопительные!S24 = 0, 0,(накопительные!S24/SUM(накопительные!S$2:S$34))^$B$39)</f>
        <v>1422.4948706277787</v>
      </c>
      <c r="T24">
        <f>IF(накопительные!T24 = 0, 0,(накопительные!T24/SUM(накопительные!T$2:T$34))^$B$39)</f>
        <v>1523.1700042015332</v>
      </c>
    </row>
    <row r="25" spans="1:20" x14ac:dyDescent="0.25">
      <c r="A25" t="s">
        <v>43</v>
      </c>
      <c r="B25">
        <f>IF(накопительные!B25 = 0, 0,(накопительные!B25/SUM(накопительные!B$2:B$34))^$B$39)</f>
        <v>126167.04000000002</v>
      </c>
      <c r="C25">
        <f>IF(накопительные!C25 = 0, 0,(накопительные!C25/SUM(накопительные!C$2:C$34))^$B$39)</f>
        <v>16833.882975206609</v>
      </c>
      <c r="D25">
        <f>IF(накопительные!D25 = 0, 0,(накопительные!D25/SUM(накопительные!D$2:D$34))^$B$39)</f>
        <v>8248.0994104308375</v>
      </c>
      <c r="E25">
        <f>IF(накопительные!E25 = 0, 0,(накопительные!E25/SUM(накопительные!E$2:E$34))^$B$39)</f>
        <v>12303.632211720222</v>
      </c>
      <c r="F25">
        <f>IF(накопительные!F25 = 0, 0,(накопительные!F25/SUM(накопительные!F$2:F$34))^$B$39)</f>
        <v>17853.413611111107</v>
      </c>
      <c r="G25">
        <f>IF(накопительные!G25 = 0, 0,(накопительные!G25/SUM(накопительные!G$2:G$34))^$B$39)</f>
        <v>21471.266331360945</v>
      </c>
      <c r="H25">
        <f>IF(накопительные!H25 = 0, 0,(накопительные!H25/SUM(накопительные!H$2:H$34))^$B$39)</f>
        <v>27704.322130177519</v>
      </c>
      <c r="I25">
        <f>IF(накопительные!I25 = 0, 0,(накопительные!I25/SUM(накопительные!I$2:I$34))^$B$39)</f>
        <v>32663.610946745557</v>
      </c>
      <c r="J25">
        <f>IF(накопительные!J25 = 0, 0,(накопительные!J25/SUM(накопительные!J$2:J$34))^$B$39)</f>
        <v>31638.922711111103</v>
      </c>
      <c r="K25">
        <f>IF(накопительные!K25 = 0, 0,(накопительные!K25/SUM(накопительные!K$2:K$34))^$B$39)</f>
        <v>44580.099600000009</v>
      </c>
      <c r="L25">
        <f>IF(накопительные!L25 = 0, 0,(накопительные!L25/SUM(накопительные!L$2:L$34))^$B$39)</f>
        <v>55793.589377777775</v>
      </c>
      <c r="M25">
        <f>IF(накопительные!M25 = 0, 0,(накопительные!M25/SUM(накопительные!M$2:M$34))^$B$39)</f>
        <v>69699.520044444405</v>
      </c>
      <c r="N25">
        <f>IF(накопительные!N25 = 0, 0,(накопительные!N25/SUM(накопительные!N$2:N$34))^$B$39)</f>
        <v>79678.234711111043</v>
      </c>
      <c r="O25">
        <f>IF(накопительные!O25 = 0, 0,(накопительные!O25/SUM(накопительные!O$2:O$34))^$B$39)</f>
        <v>99725.42937777772</v>
      </c>
      <c r="P25">
        <f>IF(накопительные!P25 = 0, 0,(накопительные!P25/SUM(накопительные!P$2:P$34))^$B$39)</f>
        <v>116094.66137777778</v>
      </c>
      <c r="Q25">
        <f>IF(накопительные!Q25 = 0, 0,(накопительные!Q25/SUM(накопительные!Q$2:Q$34))^$B$39)</f>
        <v>135566.33071111116</v>
      </c>
      <c r="R25">
        <f>IF(накопительные!R25 = 0, 0,(накопительные!R25/SUM(накопительные!R$2:R$34))^$B$39)</f>
        <v>168182.00999999992</v>
      </c>
      <c r="S25">
        <f>IF(накопительные!S25 = 0, 0,(накопительные!S25/SUM(накопительные!S$2:S$34))^$B$39)</f>
        <v>180568.3377777776</v>
      </c>
      <c r="T25">
        <f>IF(накопительные!T25 = 0, 0,(накопительные!T25/SUM(накопительные!T$2:T$34))^$B$39)</f>
        <v>193347.81551111097</v>
      </c>
    </row>
    <row r="26" spans="1:20" x14ac:dyDescent="0.25">
      <c r="A26" t="s">
        <v>44</v>
      </c>
      <c r="B26">
        <f>IF(накопительные!B26 = 0, 0,(накопительные!B26/SUM(накопительные!B$2:B$34))^$B$39)</f>
        <v>50.466816000000016</v>
      </c>
      <c r="C26">
        <f>IF(накопительные!C26 = 0, 0,(накопительные!C26/SUM(накопительные!C$2:C$34))^$B$39)</f>
        <v>371.96856099342585</v>
      </c>
      <c r="D26">
        <f>IF(накопительные!D26 = 0, 0,(накопительные!D26/SUM(накопительные!D$2:D$34))^$B$39)</f>
        <v>378.73925864223219</v>
      </c>
      <c r="E26">
        <f>IF(накопительные!E26 = 0, 0,(накопительные!E26/SUM(накопительные!E$2:E$34))^$B$39)</f>
        <v>409.9660770975056</v>
      </c>
      <c r="F26">
        <f>IF(накопительные!F26 = 0, 0,(накопительные!F26/SUM(накопительные!F$2:F$34))^$B$39)</f>
        <v>169.93136096239007</v>
      </c>
      <c r="G26">
        <f>IF(накопительные!G26 = 0, 0,(накопительные!G26/SUM(накопительные!G$2:G$34))^$B$39)</f>
        <v>109.54727720082117</v>
      </c>
      <c r="H26">
        <f>IF(накопительные!H26 = 0, 0,(накопительные!H26/SUM(накопительные!H$2:H$34))^$B$39)</f>
        <v>125.69546672393894</v>
      </c>
      <c r="I26">
        <f>IF(накопительные!I26 = 0, 0,(накопительные!I26/SUM(накопительные!I$2:I$34))^$B$39)</f>
        <v>141.51963467393048</v>
      </c>
      <c r="J26">
        <f>IF(накопительные!J26 = 0, 0,(накопительные!J26/SUM(накопительные!J$2:J$34))^$B$39)</f>
        <v>121.05443911148899</v>
      </c>
      <c r="K26">
        <f>IF(накопительные!K26 = 0, 0,(накопительные!K26/SUM(накопительные!K$2:K$34))^$B$39)</f>
        <v>137.0847087443326</v>
      </c>
      <c r="L26">
        <f>IF(накопительные!L26 = 0, 0,(накопительные!L26/SUM(накопительные!L$2:L$34))^$B$39)</f>
        <v>171.56641681557741</v>
      </c>
      <c r="M26">
        <f>IF(накопительные!M26 = 0, 0,(накопительные!M26/SUM(накопительные!M$2:M$34))^$B$39)</f>
        <v>214.32743512561447</v>
      </c>
      <c r="N26">
        <f>IF(накопительные!N26 = 0, 0,(накопительные!N26/SUM(накопительные!N$2:N$34))^$B$39)</f>
        <v>120.01159983866883</v>
      </c>
      <c r="O26">
        <f>IF(накопительные!O26 = 0, 0,(накопительные!O26/SUM(накопительные!O$2:O$34))^$B$39)</f>
        <v>114.07781247100476</v>
      </c>
      <c r="P26">
        <f>IF(накопительные!P26 = 0, 0,(накопительные!P26/SUM(накопительные!P$2:P$34))^$B$39)</f>
        <v>65.088090206810108</v>
      </c>
      <c r="Q26">
        <f>IF(накопительные!Q26 = 0, 0,(накопительные!Q26/SUM(накопительные!Q$2:Q$34))^$B$39)</f>
        <v>36.955960671079033</v>
      </c>
      <c r="R26">
        <f>IF(накопительные!R26 = 0, 0,(накопительные!R26/SUM(накопительные!R$2:R$34))^$B$39)</f>
        <v>22.581768306683006</v>
      </c>
      <c r="S26">
        <f>IF(накопительные!S26 = 0, 0,(накопительные!S26/SUM(накопительные!S$2:S$34))^$B$39)</f>
        <v>20.937358312431801</v>
      </c>
      <c r="T26">
        <f>IF(накопительные!T26 = 0, 0,(накопительные!T26/SUM(накопительные!T$2:T$34))^$B$39)</f>
        <v>20.297363728575039</v>
      </c>
    </row>
    <row r="27" spans="1:20" x14ac:dyDescent="0.25">
      <c r="A27" t="s">
        <v>45</v>
      </c>
      <c r="B27">
        <f>IF(накопительные!B27 = 0, 0,(накопительные!B27/SUM(накопительные!B$2:B$34))^$B$39)</f>
        <v>0</v>
      </c>
      <c r="C27">
        <f>IF(накопительные!C27 = 0, 0,(накопительные!C27/SUM(накопительные!C$2:C$34))^$B$39)</f>
        <v>0</v>
      </c>
      <c r="D27">
        <f>IF(накопительные!D27 = 0, 0,(накопительные!D27/SUM(накопительные!D$2:D$34))^$B$39)</f>
        <v>0</v>
      </c>
      <c r="E27">
        <f>IF(накопительные!E27 = 0, 0,(накопительные!E27/SUM(накопительные!E$2:E$34))^$B$39)</f>
        <v>0</v>
      </c>
      <c r="F27">
        <f>IF(накопительные!F27 = 0, 0,(накопительные!F27/SUM(накопительные!F$2:F$34))^$B$39)</f>
        <v>102835.6624</v>
      </c>
      <c r="G27">
        <f>IF(накопительные!G27 = 0, 0,(накопительные!G27/SUM(накопительные!G$2:G$34))^$B$39)</f>
        <v>27437.761890359183</v>
      </c>
      <c r="H27">
        <f>IF(накопительные!H27 = 0, 0,(накопительные!H27/SUM(накопительные!H$2:H$34))^$B$39)</f>
        <v>7800.1340108288232</v>
      </c>
      <c r="I27">
        <f>IF(накопительные!I27 = 0, 0,(накопительные!I27/SUM(накопительные!I$2:I$34))^$B$39)</f>
        <v>9196.4185755935032</v>
      </c>
      <c r="J27">
        <f>IF(накопительные!J27 = 0, 0,(накопительные!J27/SUM(накопительные!J$2:J$34))^$B$39)</f>
        <v>8180.1293995978158</v>
      </c>
      <c r="K27">
        <f>IF(накопительные!K27 = 0, 0,(накопительные!K27/SUM(накопительные!K$2:K$34))^$B$39)</f>
        <v>11526.024027578287</v>
      </c>
      <c r="L27">
        <f>IF(накопительные!L27 = 0, 0,(накопительные!L27/SUM(накопительные!L$2:L$34))^$B$39)</f>
        <v>11885.024956213023</v>
      </c>
      <c r="M27">
        <f>IF(накопительные!M27 = 0, 0,(накопительные!M27/SUM(накопительные!M$2:M$34))^$B$39)</f>
        <v>3067.6105452589368</v>
      </c>
      <c r="N27">
        <f>IF(накопительные!N27 = 0, 0,(накопительные!N27/SUM(накопительные!N$2:N$34))^$B$39)</f>
        <v>1925.1633933796868</v>
      </c>
      <c r="O27">
        <f>IF(накопительные!O27 = 0, 0,(накопительные!O27/SUM(накопительные!O$2:O$34))^$B$39)</f>
        <v>2054.7351580778823</v>
      </c>
      <c r="P27">
        <f>IF(накопительные!P27 = 0, 0,(накопительные!P27/SUM(накопительные!P$2:P$34))^$B$39)</f>
        <v>2392.0055685538341</v>
      </c>
      <c r="Q27">
        <f>IF(накопительные!Q27 = 0, 0,(накопительные!Q27/SUM(накопительные!Q$2:Q$34))^$B$39)</f>
        <v>2793.1983617591191</v>
      </c>
      <c r="R27">
        <f>IF(накопительные!R27 = 0, 0,(накопительные!R27/SUM(накопительные!R$2:R$34))^$B$39)</f>
        <v>2989.9023999999995</v>
      </c>
      <c r="S27">
        <f>IF(накопительные!S27 = 0, 0,(накопительные!S27/SUM(накопительные!S$2:S$34))^$B$39)</f>
        <v>2993.4517858129611</v>
      </c>
      <c r="T27">
        <f>IF(накопительные!T27 = 0, 0,(накопительные!T27/SUM(накопительные!T$2:T$34))^$B$39)</f>
        <v>2676.0943323337151</v>
      </c>
    </row>
    <row r="28" spans="1:20" x14ac:dyDescent="0.25">
      <c r="A28" t="s">
        <v>46</v>
      </c>
      <c r="B28">
        <f>IF(накопительные!B28 = 0, 0,(накопительные!B28/SUM(накопительные!B$2:B$34))^$B$39)</f>
        <v>0</v>
      </c>
      <c r="C28">
        <f>IF(накопительные!C28 = 0, 0,(накопительные!C28/SUM(накопительные!C$2:C$34))^$B$39)</f>
        <v>0</v>
      </c>
      <c r="D28">
        <f>IF(накопительные!D28 = 0, 0,(накопительные!D28/SUM(накопительные!D$2:D$34))^$B$39)</f>
        <v>0</v>
      </c>
      <c r="E28">
        <f>IF(накопительные!E28 = 0, 0,(накопительные!E28/SUM(накопительные!E$2:E$34))^$B$39)</f>
        <v>0</v>
      </c>
      <c r="F28">
        <f>IF(накопительные!F28 = 0, 0,(накопительные!F28/SUM(накопительные!F$2:F$34))^$B$39)</f>
        <v>0</v>
      </c>
      <c r="G28">
        <f>IF(накопительные!G28 = 0, 0,(накопительные!G28/SUM(накопительные!G$2:G$34))^$B$39)</f>
        <v>14514576.040000003</v>
      </c>
      <c r="H28">
        <f>IF(накопительные!H28 = 0, 0,(накопительные!H28/SUM(накопительные!H$2:H$34))^$B$39)</f>
        <v>2080902.4177777776</v>
      </c>
      <c r="I28">
        <f>IF(накопительные!I28 = 0, 0,(накопительные!I28/SUM(накопительные!I$2:I$34))^$B$39)</f>
        <v>2453400.111111111</v>
      </c>
      <c r="J28">
        <f>IF(накопительные!J28 = 0, 0,(накопительные!J28/SUM(накопительные!J$2:J$34))^$B$39)</f>
        <v>3163892.2711111102</v>
      </c>
      <c r="K28">
        <f>IF(накопительные!K28 = 0, 0,(накопительные!K28/SUM(накопительные!K$2:K$34))^$B$39)</f>
        <v>4458009.9600000009</v>
      </c>
      <c r="L28">
        <f>IF(накопительные!L28 = 0, 0,(накопительные!L28/SUM(накопительные!L$2:L$34))^$B$39)</f>
        <v>5579358.9377777791</v>
      </c>
      <c r="M28">
        <f>IF(накопительные!M28 = 0, 0,(накопительные!M28/SUM(накопительные!M$2:M$34))^$B$39)</f>
        <v>6969952.0044444418</v>
      </c>
      <c r="N28">
        <f>IF(накопительные!N28 = 0, 0,(накопительные!N28/SUM(накопительные!N$2:N$34))^$B$39)</f>
        <v>7967823.4711111048</v>
      </c>
      <c r="O28">
        <f>IF(накопительные!O28 = 0, 0,(накопительные!O28/SUM(накопительные!O$2:O$34))^$B$39)</f>
        <v>9972542.9377777725</v>
      </c>
      <c r="P28">
        <f>IF(накопительные!P28 = 0, 0,(накопительные!P28/SUM(накопительные!P$2:P$34))^$B$39)</f>
        <v>11609466.137777777</v>
      </c>
      <c r="Q28">
        <f>IF(накопительные!Q28 = 0, 0,(накопительные!Q28/SUM(накопительные!Q$2:Q$34))^$B$39)</f>
        <v>13556633.071111113</v>
      </c>
      <c r="R28">
        <f>IF(накопительные!R28 = 0, 0,(накопительные!R28/SUM(накопительные!R$2:R$34))^$B$39)</f>
        <v>16818200.999999996</v>
      </c>
      <c r="S28">
        <f>IF(накопительные!S28 = 0, 0,(накопительные!S28/SUM(накопительные!S$2:S$34))^$B$39)</f>
        <v>18056833.777777769</v>
      </c>
      <c r="T28">
        <f>IF(накопительные!T28 = 0, 0,(накопительные!T28/SUM(накопительные!T$2:T$34))^$B$39)</f>
        <v>19334781.551111095</v>
      </c>
    </row>
    <row r="29" spans="1:20" x14ac:dyDescent="0.25">
      <c r="A29" t="s">
        <v>47</v>
      </c>
      <c r="B29">
        <f>IF(накопительные!B29 = 0, 0,(накопительные!B29/SUM(накопительные!B$2:B$34))^$B$39)</f>
        <v>0</v>
      </c>
      <c r="C29">
        <f>IF(накопительные!C29 = 0, 0,(накопительные!C29/SUM(накопительные!C$2:C$34))^$B$39)</f>
        <v>0</v>
      </c>
      <c r="D29">
        <f>IF(накопительные!D29 = 0, 0,(накопительные!D29/SUM(накопительные!D$2:D$34))^$B$39)</f>
        <v>0</v>
      </c>
      <c r="E29">
        <f>IF(накопительные!E29 = 0, 0,(накопительные!E29/SUM(накопительные!E$2:E$34))^$B$39)</f>
        <v>0</v>
      </c>
      <c r="F29">
        <f>IF(накопительные!F29 = 0, 0,(накопительные!F29/SUM(накопительные!F$2:F$34))^$B$39)</f>
        <v>64272288.999999993</v>
      </c>
      <c r="G29">
        <f>IF(накопительные!G29 = 0, 0,(накопительные!G29/SUM(накопительные!G$2:G$34))^$B$39)</f>
        <v>7405395.9387755124</v>
      </c>
      <c r="H29">
        <f>IF(накопительные!H29 = 0, 0,(накопительные!H29/SUM(накопительные!H$2:H$34))^$B$39)</f>
        <v>9555164.1632653084</v>
      </c>
      <c r="I29">
        <f>IF(накопительные!I29 = 0, 0,(накопительные!I29/SUM(накопительные!I$2:I$34))^$B$39)</f>
        <v>249893.6283386148</v>
      </c>
      <c r="J29">
        <f>IF(накопительные!J29 = 0, 0,(накопительные!J29/SUM(накопительные!J$2:J$34))^$B$39)</f>
        <v>322261.54866455402</v>
      </c>
      <c r="K29">
        <f>IF(накопительные!K29 = 0, 0,(накопительные!K29/SUM(накопительные!K$2:K$34))^$B$39)</f>
        <v>454075.25622453628</v>
      </c>
      <c r="L29">
        <f>IF(накопительные!L29 = 0, 0,(накопительные!L29/SUM(накопительные!L$2:L$34))^$B$39)</f>
        <v>568291.42643730214</v>
      </c>
      <c r="M29">
        <f>IF(накопительные!M29 = 0, 0,(накопительные!M29/SUM(накопительные!M$2:M$34))^$B$39)</f>
        <v>709931.73426889977</v>
      </c>
      <c r="N29">
        <f>IF(накопительные!N29 = 0, 0,(накопительные!N29/SUM(накопительные!N$2:N$34))^$B$39)</f>
        <v>811570.97374377493</v>
      </c>
      <c r="O29">
        <f>IF(накопительные!O29 = 0, 0,(накопительные!O29/SUM(накопительные!O$2:O$34))^$B$39)</f>
        <v>1015763.7668628334</v>
      </c>
      <c r="P29">
        <f>IF(накопительные!P29 = 0, 0,(накопительные!P29/SUM(накопительные!P$2:P$34))^$B$39)</f>
        <v>1182494.2874603895</v>
      </c>
      <c r="Q29">
        <f>IF(накопительные!Q29 = 0, 0,(накопительные!Q29/SUM(накопительные!Q$2:Q$34))^$B$39)</f>
        <v>1380825.0072430973</v>
      </c>
      <c r="R29">
        <f>IF(накопительные!R29 = 0, 0,(накопительные!R29/SUM(накопительные!R$2:R$34))^$B$39)</f>
        <v>1713035.4119511091</v>
      </c>
      <c r="S29">
        <f>IF(накопительные!S29 = 0, 0,(накопительные!S29/SUM(накопительные!S$2:S$34))^$B$39)</f>
        <v>1839197.6459936611</v>
      </c>
      <c r="T29">
        <f>IF(накопительные!T29 = 0, 0,(накопительные!T29/SUM(накопительные!T$2:T$34))^$B$39)</f>
        <v>1969364.3499320948</v>
      </c>
    </row>
    <row r="30" spans="1:20" x14ac:dyDescent="0.25">
      <c r="A30" t="s">
        <v>48</v>
      </c>
      <c r="B30">
        <f>IF(накопительные!B30 = 0, 0,(накопительные!B30/SUM(накопительные!B$2:B$34))^$B$39)</f>
        <v>0</v>
      </c>
      <c r="C30">
        <f>IF(накопительные!C30 = 0, 0,(накопительные!C30/SUM(накопительные!C$2:C$34))^$B$39)</f>
        <v>56580.551111111112</v>
      </c>
      <c r="D30">
        <f>IF(накопительные!D30 = 0, 0,(накопительные!D30/SUM(накопительные!D$2:D$34))^$B$39)</f>
        <v>101039.21777777775</v>
      </c>
      <c r="E30">
        <f>IF(накопительные!E30 = 0, 0,(накопительные!E30/SUM(накопительные!E$2:E$34))^$B$39)</f>
        <v>16271.553599999997</v>
      </c>
      <c r="F30">
        <f>IF(накопительные!F30 = 0, 0,(накопительные!F30/SUM(накопительные!F$2:F$34))^$B$39)</f>
        <v>25708.9156</v>
      </c>
      <c r="G30">
        <f>IF(накопительные!G30 = 0, 0,(накопительные!G30/SUM(накопительные!G$2:G$34))^$B$39)</f>
        <v>36286.440100000014</v>
      </c>
      <c r="H30">
        <f>IF(накопительные!H30 = 0, 0,(накопительные!H30/SUM(накопительные!H$2:H$34))^$B$39)</f>
        <v>46820.30440000003</v>
      </c>
      <c r="I30">
        <f>IF(накопительные!I30 = 0, 0,(накопительные!I30/SUM(накопительные!I$2:I$34))^$B$39)</f>
        <v>55201.502500000024</v>
      </c>
      <c r="J30">
        <f>IF(накопительные!J30 = 0, 0,(накопительные!J30/SUM(накопительные!J$2:J$34))^$B$39)</f>
        <v>71187.576099999991</v>
      </c>
      <c r="K30">
        <f>IF(накопительные!K30 = 0, 0,(накопительные!K30/SUM(накопительные!K$2:K$34))^$B$39)</f>
        <v>100305.22410000005</v>
      </c>
      <c r="L30">
        <f>IF(накопительные!L30 = 0, 0,(накопительные!L30/SUM(накопительные!L$2:L$34))^$B$39)</f>
        <v>125535.57610000005</v>
      </c>
      <c r="M30">
        <f>IF(накопительные!M30 = 0, 0,(накопительные!M30/SUM(накопительные!M$2:M$34))^$B$39)</f>
        <v>156823.92010000002</v>
      </c>
      <c r="N30">
        <f>IF(накопительные!N30 = 0, 0,(накопительные!N30/SUM(накопительные!N$2:N$34))^$B$39)</f>
        <v>179276.02809999991</v>
      </c>
      <c r="O30">
        <f>IF(накопительные!O30 = 0, 0,(накопительные!O30/SUM(накопительные!O$2:O$34))^$B$39)</f>
        <v>224382.21609999993</v>
      </c>
      <c r="P30">
        <f>IF(накопительные!P30 = 0, 0,(накопительные!P30/SUM(накопительные!P$2:P$34))^$B$39)</f>
        <v>261212.9881000001</v>
      </c>
      <c r="Q30">
        <f>IF(накопительные!Q30 = 0, 0,(накопительные!Q30/SUM(накопительные!Q$2:Q$34))^$B$39)</f>
        <v>305024.24410000019</v>
      </c>
      <c r="R30">
        <f>IF(накопительные!R30 = 0, 0,(накопительные!R30/SUM(накопительные!R$2:R$34))^$B$39)</f>
        <v>378409.52250000002</v>
      </c>
      <c r="S30">
        <f>IF(накопительные!S30 = 0, 0,(накопительные!S30/SUM(накопительные!S$2:S$34))^$B$39)</f>
        <v>406278.75999999978</v>
      </c>
      <c r="T30">
        <f>IF(накопительные!T30 = 0, 0,(накопительные!T30/SUM(накопительные!T$2:T$34))^$B$39)</f>
        <v>435032.58489999978</v>
      </c>
    </row>
    <row r="31" spans="1:20" x14ac:dyDescent="0.25">
      <c r="A31" t="s">
        <v>49</v>
      </c>
      <c r="B31">
        <f>IF(накопительные!B31 = 0, 0,(накопительные!B31/SUM(накопительные!B$2:B$34))^$B$39)</f>
        <v>0</v>
      </c>
      <c r="C31">
        <f>IF(накопительные!C31 = 0, 0,(накопительные!C31/SUM(накопительные!C$2:C$34))^$B$39)</f>
        <v>0</v>
      </c>
      <c r="D31">
        <f>IF(накопительные!D31 = 0, 0,(накопительные!D31/SUM(накопительные!D$2:D$34))^$B$39)</f>
        <v>0</v>
      </c>
      <c r="E31">
        <f>IF(накопительные!E31 = 0, 0,(накопительные!E31/SUM(накопительные!E$2:E$34))^$B$39)</f>
        <v>0</v>
      </c>
      <c r="F31">
        <f>IF(накопительные!F31 = 0, 0,(накопительные!F31/SUM(накопительные!F$2:F$34))^$B$39)</f>
        <v>642722.89</v>
      </c>
      <c r="G31">
        <f>IF(накопительные!G31 = 0, 0,(накопительные!G31/SUM(накопительные!G$2:G$34))^$B$39)</f>
        <v>74053.959387755138</v>
      </c>
      <c r="H31">
        <f>IF(накопительные!H31 = 0, 0,(накопительные!H31/SUM(накопительные!H$2:H$34))^$B$39)</f>
        <v>73156.72562500005</v>
      </c>
      <c r="I31">
        <f>IF(накопительные!I31 = 0, 0,(накопительные!I31/SUM(накопительные!I$2:I$34))^$B$39)</f>
        <v>86252.347656250044</v>
      </c>
      <c r="J31">
        <f>IF(накопительные!J31 = 0, 0,(накопительные!J31/SUM(накопительные!J$2:J$34))^$B$39)</f>
        <v>111230.58765625001</v>
      </c>
      <c r="K31">
        <f>IF(накопительные!K31 = 0, 0,(накопительные!K31/SUM(накопительные!K$2:K$34))^$B$39)</f>
        <v>156726.91265625012</v>
      </c>
      <c r="L31">
        <f>IF(накопительные!L31 = 0, 0,(накопительные!L31/SUM(накопительные!L$2:L$34))^$B$39)</f>
        <v>196149.33765625011</v>
      </c>
      <c r="M31">
        <f>IF(накопительные!M31 = 0, 0,(накопительные!M31/SUM(накопительные!M$2:M$34))^$B$39)</f>
        <v>245037.37515625003</v>
      </c>
      <c r="N31">
        <f>IF(накопительные!N31 = 0, 0,(накопительные!N31/SUM(накопительные!N$2:N$34))^$B$39)</f>
        <v>280118.79390624992</v>
      </c>
      <c r="O31">
        <f>IF(накопительные!O31 = 0, 0,(накопительные!O31/SUM(накопительные!O$2:O$34))^$B$39)</f>
        <v>350597.21265624993</v>
      </c>
      <c r="P31">
        <f>IF(накопительные!P31 = 0, 0,(накопительные!P31/SUM(накопительные!P$2:P$34))^$B$39)</f>
        <v>408145.29390625015</v>
      </c>
      <c r="Q31">
        <f>IF(накопительные!Q31 = 0, 0,(накопительные!Q31/SUM(накопительные!Q$2:Q$34))^$B$39)</f>
        <v>476600.38140625035</v>
      </c>
      <c r="R31">
        <f>IF(накопительные!R31 = 0, 0,(накопительные!R31/SUM(накопительные!R$2:R$34))^$B$39)</f>
        <v>591264.87890625012</v>
      </c>
      <c r="S31">
        <f>IF(накопительные!S31 = 0, 0,(накопительные!S31/SUM(накопительные!S$2:S$34))^$B$39)</f>
        <v>634810.56249999988</v>
      </c>
      <c r="T31">
        <f>IF(накопительные!T31 = 0, 0,(накопительные!T31/SUM(накопительные!T$2:T$34))^$B$39)</f>
        <v>679738.4139062498</v>
      </c>
    </row>
    <row r="32" spans="1:20" x14ac:dyDescent="0.25">
      <c r="A32" t="s">
        <v>50</v>
      </c>
      <c r="B32">
        <f>IF(накопительные!B32 = 0, 0,(накопительные!B32/SUM(накопительные!B$2:B$34))^$B$39)</f>
        <v>0</v>
      </c>
      <c r="C32">
        <f>IF(накопительные!C32 = 0, 0,(накопительные!C32/SUM(накопительные!C$2:C$34))^$B$39)</f>
        <v>0</v>
      </c>
      <c r="D32">
        <f>IF(накопительные!D32 = 0, 0,(накопительные!D32/SUM(накопительные!D$2:D$34))^$B$39)</f>
        <v>0</v>
      </c>
      <c r="E32">
        <f>IF(накопительные!E32 = 0, 0,(накопительные!E32/SUM(накопительные!E$2:E$34))^$B$39)</f>
        <v>0</v>
      </c>
      <c r="F32">
        <f>IF(накопительные!F32 = 0, 0,(накопительные!F32/SUM(накопительные!F$2:F$34))^$B$39)</f>
        <v>0</v>
      </c>
      <c r="G32">
        <f>IF(накопительные!G32 = 0, 0,(накопительные!G32/SUM(накопительные!G$2:G$34))^$B$39)</f>
        <v>0</v>
      </c>
      <c r="H32">
        <f>IF(накопительные!H32 = 0, 0,(накопительные!H32/SUM(накопительные!H$2:H$34))^$B$39)</f>
        <v>0</v>
      </c>
      <c r="I32">
        <f>IF(накопительные!I32 = 0, 0,(накопительные!I32/SUM(накопительные!I$2:I$34))^$B$39)</f>
        <v>0</v>
      </c>
      <c r="J32">
        <f>IF(накопительные!J32 = 0, 0,(накопительные!J32/SUM(накопительные!J$2:J$34))^$B$39)</f>
        <v>0</v>
      </c>
      <c r="K32">
        <f>IF(накопительные!K32 = 0, 0,(накопительные!K32/SUM(накопительные!K$2:K$34))^$B$39)</f>
        <v>0</v>
      </c>
      <c r="L32">
        <f>IF(накопительные!L32 = 0, 0,(накопительные!L32/SUM(накопительные!L$2:L$34))^$B$39)</f>
        <v>0</v>
      </c>
      <c r="M32">
        <f>IF(накопительные!M32 = 0, 0,(накопительные!M32/SUM(накопительные!M$2:M$34))^$B$39)</f>
        <v>0</v>
      </c>
      <c r="N32">
        <f>IF(накопительные!N32 = 0, 0,(накопительные!N32/SUM(накопительные!N$2:N$34))^$B$39)</f>
        <v>0</v>
      </c>
      <c r="O32">
        <f>IF(накопительные!O32 = 0, 0,(накопительные!O32/SUM(накопительные!O$2:O$34))^$B$39)</f>
        <v>0</v>
      </c>
      <c r="P32">
        <f>IF(накопительные!P32 = 0, 0,(накопительные!P32/SUM(накопительные!P$2:P$34))^$B$39)</f>
        <v>6530324.7025000015</v>
      </c>
      <c r="Q32">
        <f>IF(накопительные!Q32 = 0, 0,(накопительные!Q32/SUM(накопительные!Q$2:Q$34))^$B$39)</f>
        <v>7625606.1025000047</v>
      </c>
      <c r="R32">
        <f>IF(накопительные!R32 = 0, 0,(накопительные!R32/SUM(накопительные!R$2:R$34))^$B$39)</f>
        <v>9460238.0624999981</v>
      </c>
      <c r="S32">
        <f>IF(накопительные!S32 = 0, 0,(накопительные!S32/SUM(накопительные!S$2:S$34))^$B$39)</f>
        <v>10156968.999999994</v>
      </c>
      <c r="T32">
        <f>IF(накопительные!T32 = 0, 0,(накопительные!T32/SUM(накопительные!T$2:T$34))^$B$39)</f>
        <v>10875814.622499991</v>
      </c>
    </row>
    <row r="33" spans="1:20" x14ac:dyDescent="0.25">
      <c r="A33" t="s">
        <v>51</v>
      </c>
      <c r="B33">
        <f>IF(накопительные!B33 = 0, 0,(накопительные!B33/SUM(накопительные!B$2:B$34))^$B$39)</f>
        <v>0</v>
      </c>
      <c r="C33">
        <f>IF(накопительные!C33 = 0, 0,(накопительные!C33/SUM(накопительные!C$2:C$34))^$B$39)</f>
        <v>0</v>
      </c>
      <c r="D33">
        <f>IF(накопительные!D33 = 0, 0,(накопительные!D33/SUM(накопительные!D$2:D$34))^$B$39)</f>
        <v>0</v>
      </c>
      <c r="E33">
        <f>IF(накопительные!E33 = 0, 0,(накопительные!E33/SUM(накопительные!E$2:E$34))^$B$39)</f>
        <v>0</v>
      </c>
      <c r="F33">
        <f>IF(накопительные!F33 = 0, 0,(накопительные!F33/SUM(накопительные!F$2:F$34))^$B$39)</f>
        <v>0</v>
      </c>
      <c r="G33">
        <f>IF(накопительные!G33 = 0, 0,(накопительные!G33/SUM(накопительные!G$2:G$34))^$B$39)</f>
        <v>0</v>
      </c>
      <c r="H33">
        <f>IF(накопительные!H33 = 0, 0,(накопительные!H33/SUM(накопительные!H$2:H$34))^$B$39)</f>
        <v>0</v>
      </c>
      <c r="I33">
        <f>IF(накопительные!I33 = 0, 0,(накопительные!I33/SUM(накопительные!I$2:I$34))^$B$39)</f>
        <v>0</v>
      </c>
      <c r="J33">
        <f>IF(накопительные!J33 = 0, 0,(накопительные!J33/SUM(накопительные!J$2:J$34))^$B$39)</f>
        <v>0</v>
      </c>
      <c r="K33">
        <f>IF(накопительные!K33 = 0, 0,(накопительные!K33/SUM(накопительные!K$2:K$34))^$B$39)</f>
        <v>0</v>
      </c>
      <c r="L33">
        <f>IF(накопительные!L33 = 0, 0,(накопительные!L33/SUM(накопительные!L$2:L$34))^$B$39)</f>
        <v>0</v>
      </c>
      <c r="M33">
        <f>IF(накопительные!M33 = 0, 0,(накопительные!M33/SUM(накопительные!M$2:M$34))^$B$39)</f>
        <v>0</v>
      </c>
      <c r="N33">
        <f>IF(накопительные!N33 = 0, 0,(накопительные!N33/SUM(накопительные!N$2:N$34))^$B$39)</f>
        <v>0</v>
      </c>
      <c r="O33">
        <f>IF(накопительные!O33 = 0, 0,(накопительные!O33/SUM(накопительные!O$2:O$34))^$B$39)</f>
        <v>0</v>
      </c>
      <c r="P33">
        <f>IF(накопительные!P33 = 0, 0,(накопительные!P33/SUM(накопительные!P$2:P$34))^$B$39)</f>
        <v>725591.63361111132</v>
      </c>
      <c r="Q33">
        <f>IF(накопительные!Q33 = 0, 0,(накопительные!Q33/SUM(накопительные!Q$2:Q$34))^$B$39)</f>
        <v>847289.56694444502</v>
      </c>
      <c r="R33">
        <f>IF(накопительные!R33 = 0, 0,(накопительные!R33/SUM(накопительные!R$2:R$34))^$B$39)</f>
        <v>1051137.5625</v>
      </c>
      <c r="S33">
        <f>IF(накопительные!S33 = 0, 0,(накопительные!S33/SUM(накопительные!S$2:S$34))^$B$39)</f>
        <v>1128552.1111111105</v>
      </c>
      <c r="T33">
        <f>IF(накопительные!T33 = 0, 0,(накопительные!T33/SUM(накопительные!T$2:T$34))^$B$39)</f>
        <v>1208423.8469444439</v>
      </c>
    </row>
    <row r="34" spans="1:20" x14ac:dyDescent="0.25">
      <c r="A34" t="s">
        <v>52</v>
      </c>
      <c r="B34">
        <f>IF(накопительные!B34 = 0, 0,(накопительные!B34/SUM(накопительные!B$2:B$34))^$B$39)</f>
        <v>0</v>
      </c>
      <c r="C34">
        <f>IF(накопительные!C34 = 0, 0,(накопительные!C34/SUM(накопительные!C$2:C$34))^$B$39)</f>
        <v>0</v>
      </c>
      <c r="D34">
        <f>IF(накопительные!D34 = 0, 0,(накопительные!D34/SUM(накопительные!D$2:D$34))^$B$39)</f>
        <v>0</v>
      </c>
      <c r="E34">
        <f>IF(накопительные!E34 = 0, 0,(накопительные!E34/SUM(накопительные!E$2:E$34))^$B$39)</f>
        <v>0</v>
      </c>
      <c r="F34">
        <f>IF(накопительные!F34 = 0, 0,(накопительные!F34/SUM(накопительные!F$2:F$34))^$B$39)</f>
        <v>0</v>
      </c>
      <c r="G34">
        <f>IF(накопительные!G34 = 0, 0,(накопительные!G34/SUM(накопительные!G$2:G$34))^$B$39)</f>
        <v>0</v>
      </c>
      <c r="H34">
        <f>IF(накопительные!H34 = 0, 0,(накопительные!H34/SUM(накопительные!H$2:H$34))^$B$39)</f>
        <v>0</v>
      </c>
      <c r="I34">
        <f>IF(накопительные!I34 = 0, 0,(накопительные!I34/SUM(накопительные!I$2:I$34))^$B$39)</f>
        <v>0</v>
      </c>
      <c r="J34">
        <f>IF(накопительные!J34 = 0, 0,(накопительные!J34/SUM(накопительные!J$2:J$34))^$B$39)</f>
        <v>0</v>
      </c>
      <c r="K34">
        <f>IF(накопительные!K34 = 0, 0,(накопительные!K34/SUM(накопительные!K$2:K$34))^$B$39)</f>
        <v>0</v>
      </c>
      <c r="L34">
        <f>IF(накопительные!L34 = 0, 0,(накопительные!L34/SUM(накопительные!L$2:L$34))^$B$39)</f>
        <v>0</v>
      </c>
      <c r="M34">
        <f>IF(накопительные!M34 = 0, 0,(накопительные!M34/SUM(накопительные!M$2:M$34))^$B$39)</f>
        <v>0</v>
      </c>
      <c r="N34">
        <f>IF(накопительные!N34 = 0, 0,(накопительные!N34/SUM(накопительные!N$2:N$34))^$B$39)</f>
        <v>0</v>
      </c>
      <c r="O34">
        <f>IF(накопительные!O34 = 0, 0,(накопительные!O34/SUM(накопительные!O$2:O$34))^$B$39)</f>
        <v>0</v>
      </c>
      <c r="P34">
        <f>IF(накопительные!P34 = 0, 0,(накопительные!P34/SUM(накопительные!P$2:P$34))^$B$39)</f>
        <v>0</v>
      </c>
      <c r="Q34">
        <f>IF(накопительные!Q34 = 0, 0,(накопительные!Q34/SUM(накопительные!Q$2:Q$34))^$B$39)</f>
        <v>0</v>
      </c>
      <c r="R34">
        <f>IF(накопительные!R34 = 0, 0,(накопительные!R34/SUM(накопительные!R$2:R$34))^$B$39)</f>
        <v>0</v>
      </c>
      <c r="S34">
        <f>IF(накопительные!S34 = 0, 0,(накопительные!S34/SUM(накопительные!S$2:S$34))^$B$39)</f>
        <v>32237.949613171982</v>
      </c>
      <c r="T34">
        <f>IF(накопительные!T34 = 0, 0,(накопительные!T34/SUM(накопительные!T$2:T$34))^$B$39)</f>
        <v>34519.546510612956</v>
      </c>
    </row>
    <row r="36" spans="1:20" x14ac:dyDescent="0.25">
      <c r="A36" s="1" t="s">
        <v>53</v>
      </c>
      <c r="B36">
        <f>SUM(B2:B34)</f>
        <v>966863.0538823189</v>
      </c>
      <c r="C36">
        <f t="shared" ref="C36:T36" si="0">SUM(C2:C34)</f>
        <v>7941072.9905845681</v>
      </c>
      <c r="D36">
        <f t="shared" si="0"/>
        <v>3630656.1718342458</v>
      </c>
      <c r="E36">
        <f t="shared" si="0"/>
        <v>4736042.1922009652</v>
      </c>
      <c r="F36">
        <f t="shared" si="0"/>
        <v>391179808.83364451</v>
      </c>
      <c r="G36">
        <f t="shared" si="0"/>
        <v>411593318.88438779</v>
      </c>
      <c r="H36">
        <f t="shared" si="0"/>
        <v>494458168.79874223</v>
      </c>
      <c r="I36">
        <f t="shared" si="0"/>
        <v>32582087.387766391</v>
      </c>
      <c r="J36">
        <f t="shared" si="0"/>
        <v>40761544.075742759</v>
      </c>
      <c r="K36">
        <f t="shared" si="0"/>
        <v>57390482.152486518</v>
      </c>
      <c r="L36">
        <f t="shared" si="0"/>
        <v>53745625.799267866</v>
      </c>
      <c r="M36">
        <f t="shared" si="0"/>
        <v>29460781.543580934</v>
      </c>
      <c r="N36">
        <f t="shared" si="0"/>
        <v>29276934.968171418</v>
      </c>
      <c r="O36">
        <f t="shared" si="0"/>
        <v>34018548.400734283</v>
      </c>
      <c r="P36">
        <f t="shared" si="0"/>
        <v>25871990.463264268</v>
      </c>
      <c r="Q36">
        <f t="shared" si="0"/>
        <v>30033502.365809683</v>
      </c>
      <c r="R36">
        <f t="shared" si="0"/>
        <v>36841640.480184212</v>
      </c>
      <c r="S36">
        <f t="shared" si="0"/>
        <v>39287854.964680791</v>
      </c>
      <c r="T36">
        <f t="shared" si="0"/>
        <v>41943443.93704702</v>
      </c>
    </row>
    <row r="37" spans="1:20" x14ac:dyDescent="0.25">
      <c r="A37" s="1" t="s">
        <v>55</v>
      </c>
      <c r="B37">
        <f>LN(B36)/LN(SUM(накопительные!B2:B34))</f>
        <v>4.7904267340239537</v>
      </c>
      <c r="C37">
        <f>LN(C36)/LN(SUM(накопительные!C2:C34))</f>
        <v>3.7227123282786714</v>
      </c>
      <c r="D37">
        <f>LN(D36)/LN(SUM(накопительные!D2:D34))</f>
        <v>3.3141846021533783</v>
      </c>
      <c r="E37">
        <f>LN(E36)/LN(SUM(накопительные!E2:E34))</f>
        <v>3.1701427374130562</v>
      </c>
      <c r="F37">
        <f>LN(F36)/LN(SUM(накопительные!F2:F34))</f>
        <v>3.8966953466642251</v>
      </c>
      <c r="G37">
        <f>LN(G36)/LN(SUM(накопительные!G2:G34))</f>
        <v>3.7784874017490222</v>
      </c>
      <c r="H37">
        <f>LN(H36)/LN(SUM(накопительные!H2:H34))</f>
        <v>3.7230497733452568</v>
      </c>
      <c r="I37">
        <f>LN(I36)/LN(SUM(накопительные!I2:I34))</f>
        <v>3.1687291010072616</v>
      </c>
      <c r="J37">
        <f>LN(J36)/LN(SUM(накопительные!J2:J34))</f>
        <v>3.1366927833854743</v>
      </c>
      <c r="K37">
        <f>LN(K36)/LN(SUM(накопительные!K2:K34))</f>
        <v>3.1027146281826234</v>
      </c>
      <c r="L37">
        <f>LN(L36)/LN(SUM(накопительные!L2:L34))</f>
        <v>3.0322403032047496</v>
      </c>
      <c r="M37">
        <f>LN(M36)/LN(SUM(накопительные!M2:M34))</f>
        <v>2.8753230058889399</v>
      </c>
      <c r="N37">
        <f>LN(N36)/LN(SUM(накопительные!N2:N34))</f>
        <v>2.8424836872818369</v>
      </c>
      <c r="O37">
        <f>LN(O36)/LN(SUM(накопительные!O2:O34))</f>
        <v>2.8150745875394061</v>
      </c>
      <c r="P37">
        <f>LN(P36)/LN(SUM(накопительные!P2:P34))</f>
        <v>2.7368790855410041</v>
      </c>
      <c r="Q37">
        <f>LN(Q36)/LN(SUM(накопительные!Q2:Q34))</f>
        <v>2.7268964619265126</v>
      </c>
      <c r="R37">
        <f>LN(R36)/LN(SUM(накопительные!R2:R34))</f>
        <v>2.7129402757763765</v>
      </c>
      <c r="S37">
        <f>LN(S36)/LN(SUM(накопительные!S2:S34))</f>
        <v>2.7079680723584589</v>
      </c>
      <c r="T37">
        <f>LN(T36)/LN(SUM(накопительные!T2:T34))</f>
        <v>2.7037810170808068</v>
      </c>
    </row>
    <row r="39" spans="1:20" x14ac:dyDescent="0.25">
      <c r="A39" s="2" t="s">
        <v>56</v>
      </c>
      <c r="B39" s="3">
        <v>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C0C5-5926-4B91-823E-FEA7CDD316A7}">
  <dimension ref="A1:T26"/>
  <sheetViews>
    <sheetView topLeftCell="A22" zoomScaleNormal="100" workbookViewId="0">
      <selection activeCell="O74" sqref="O74"/>
    </sheetView>
  </sheetViews>
  <sheetFormatPr defaultRowHeight="15" x14ac:dyDescent="0.25"/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3" spans="1:20" x14ac:dyDescent="0.25">
      <c r="A3" t="str">
        <f>накопительные!A37</f>
        <v>S</v>
      </c>
      <c r="B3">
        <f>накопительные!B37</f>
        <v>13</v>
      </c>
      <c r="C3">
        <f>накопительные!C37</f>
        <v>15</v>
      </c>
      <c r="D3">
        <f>накопительные!D37</f>
        <v>17</v>
      </c>
      <c r="E3">
        <f>накопительные!E37</f>
        <v>17</v>
      </c>
      <c r="F3">
        <f>накопительные!F37</f>
        <v>26</v>
      </c>
      <c r="G3">
        <f>накопительные!G37</f>
        <v>29</v>
      </c>
      <c r="H3">
        <f>накопительные!H37</f>
        <v>29</v>
      </c>
      <c r="I3">
        <f>накопительные!I37</f>
        <v>29</v>
      </c>
      <c r="J3">
        <f>накопительные!J37</f>
        <v>30</v>
      </c>
      <c r="K3">
        <f>накопительные!K37</f>
        <v>30</v>
      </c>
      <c r="L3">
        <f>накопительные!L37</f>
        <v>30</v>
      </c>
      <c r="M3">
        <f>накопительные!M37</f>
        <v>30</v>
      </c>
      <c r="N3">
        <f>накопительные!N37</f>
        <v>30</v>
      </c>
      <c r="O3">
        <f>накопительные!O37</f>
        <v>30</v>
      </c>
      <c r="P3">
        <f>накопительные!P37</f>
        <v>32</v>
      </c>
      <c r="Q3">
        <f>накопительные!Q37</f>
        <v>32</v>
      </c>
      <c r="R3">
        <f>накопительные!R37</f>
        <v>32</v>
      </c>
      <c r="S3">
        <f>накопительные!S37</f>
        <v>33</v>
      </c>
      <c r="T3">
        <f>накопительные!T37</f>
        <v>33</v>
      </c>
    </row>
    <row r="4" spans="1:20" x14ac:dyDescent="0.25">
      <c r="A4" t="str">
        <f>накопительные!A38</f>
        <v>N</v>
      </c>
      <c r="B4">
        <f>накопительные!B38</f>
        <v>17.760000000000002</v>
      </c>
      <c r="C4">
        <f>накопительные!C38</f>
        <v>71.36</v>
      </c>
      <c r="D4">
        <f>накопительные!D38</f>
        <v>95.359999999999985</v>
      </c>
      <c r="E4">
        <f>накопительные!E38</f>
        <v>127.56</v>
      </c>
      <c r="F4">
        <f>накопительные!F38</f>
        <v>160.34</v>
      </c>
      <c r="G4">
        <f>накопительные!G38</f>
        <v>190.49000000000004</v>
      </c>
      <c r="H4">
        <f>накопительные!H38</f>
        <v>216.38000000000005</v>
      </c>
      <c r="I4">
        <f>накопительные!I38</f>
        <v>234.95000000000005</v>
      </c>
      <c r="J4">
        <f>накопительные!J38</f>
        <v>266.81</v>
      </c>
      <c r="K4">
        <f>накопительные!K38</f>
        <v>316.71000000000009</v>
      </c>
      <c r="L4">
        <f>накопительные!L38</f>
        <v>354.31000000000006</v>
      </c>
      <c r="M4">
        <f>накопительные!M38</f>
        <v>396.01</v>
      </c>
      <c r="N4">
        <f>накопительные!N38</f>
        <v>423.40999999999991</v>
      </c>
      <c r="O4">
        <f>накопительные!O38</f>
        <v>473.68999999999994</v>
      </c>
      <c r="P4">
        <f>накопительные!P38</f>
        <v>511.09000000000009</v>
      </c>
      <c r="Q4">
        <f>накопительные!Q38</f>
        <v>552.29000000000019</v>
      </c>
      <c r="R4">
        <f>накопительные!R38</f>
        <v>615.15</v>
      </c>
      <c r="S4">
        <f>накопительные!S38</f>
        <v>637.39999999999986</v>
      </c>
      <c r="T4">
        <f>накопительные!T38</f>
        <v>659.56999999999982</v>
      </c>
    </row>
    <row r="6" spans="1:20" ht="15.75" thickBot="1" x14ac:dyDescent="0.3"/>
    <row r="7" spans="1:20" s="5" customFormat="1" ht="15.75" thickBot="1" x14ac:dyDescent="0.3">
      <c r="A7" s="4" t="s">
        <v>57</v>
      </c>
    </row>
    <row r="8" spans="1:20" x14ac:dyDescent="0.25">
      <c r="A8" t="str">
        <f>'q = -2'!A36</f>
        <v>M(q)</v>
      </c>
      <c r="B8">
        <f>'q = -2'!B36</f>
        <v>966863.0538823189</v>
      </c>
      <c r="C8">
        <f>'q = -2'!C36</f>
        <v>7941072.9905845681</v>
      </c>
      <c r="D8">
        <f>'q = -2'!D36</f>
        <v>3630656.1718342458</v>
      </c>
      <c r="E8">
        <f>'q = -2'!E36</f>
        <v>4736042.1922009652</v>
      </c>
      <c r="F8">
        <f>'q = -2'!F36</f>
        <v>391179808.83364451</v>
      </c>
      <c r="G8">
        <f>'q = -2'!G36</f>
        <v>411593318.88438779</v>
      </c>
      <c r="H8">
        <f>'q = -2'!H36</f>
        <v>494458168.79874223</v>
      </c>
      <c r="I8">
        <f>'q = -2'!I36</f>
        <v>32582087.387766391</v>
      </c>
      <c r="J8">
        <f>'q = -2'!J36</f>
        <v>40761544.075742759</v>
      </c>
      <c r="K8">
        <f>'q = -2'!K36</f>
        <v>57390482.152486518</v>
      </c>
      <c r="L8">
        <f>'q = -2'!L36</f>
        <v>53745625.799267866</v>
      </c>
      <c r="M8">
        <f>'q = -2'!M36</f>
        <v>29460781.543580934</v>
      </c>
      <c r="N8">
        <f>'q = -2'!N36</f>
        <v>29276934.968171418</v>
      </c>
      <c r="O8">
        <f>'q = -2'!O36</f>
        <v>34018548.400734283</v>
      </c>
      <c r="P8">
        <f>'q = -2'!P36</f>
        <v>25871990.463264268</v>
      </c>
      <c r="Q8">
        <f>'q = -2'!Q36</f>
        <v>30033502.365809683</v>
      </c>
      <c r="R8">
        <f>'q = -2'!R36</f>
        <v>36841640.480184212</v>
      </c>
      <c r="S8">
        <f>'q = -2'!S36</f>
        <v>39287854.964680791</v>
      </c>
      <c r="T8">
        <f>'q = -2'!T36</f>
        <v>41943443.93704702</v>
      </c>
    </row>
    <row r="9" spans="1:20" x14ac:dyDescent="0.25">
      <c r="A9" t="str">
        <f>'q = -2'!A37</f>
        <v>t(q)</v>
      </c>
      <c r="B9">
        <f>'q = -2'!B37</f>
        <v>4.7904267340239537</v>
      </c>
      <c r="C9">
        <f>'q = -2'!C37</f>
        <v>3.7227123282786714</v>
      </c>
      <c r="D9">
        <f>'q = -2'!D37</f>
        <v>3.3141846021533783</v>
      </c>
      <c r="E9">
        <f>'q = -2'!E37</f>
        <v>3.1701427374130562</v>
      </c>
      <c r="F9">
        <f>'q = -2'!F37</f>
        <v>3.8966953466642251</v>
      </c>
      <c r="G9">
        <f>'q = -2'!G37</f>
        <v>3.7784874017490222</v>
      </c>
      <c r="H9">
        <f>'q = -2'!H37</f>
        <v>3.7230497733452568</v>
      </c>
      <c r="I9">
        <f>'q = -2'!I37</f>
        <v>3.1687291010072616</v>
      </c>
      <c r="J9">
        <f>'q = -2'!J37</f>
        <v>3.1366927833854743</v>
      </c>
      <c r="K9">
        <f>'q = -2'!K37</f>
        <v>3.1027146281826234</v>
      </c>
      <c r="L9">
        <f>'q = -2'!L37</f>
        <v>3.0322403032047496</v>
      </c>
      <c r="M9">
        <f>'q = -2'!M37</f>
        <v>2.8753230058889399</v>
      </c>
      <c r="N9">
        <f>'q = -2'!N37</f>
        <v>2.8424836872818369</v>
      </c>
      <c r="O9">
        <f>'q = -2'!O37</f>
        <v>2.8150745875394061</v>
      </c>
      <c r="P9">
        <f>'q = -2'!P37</f>
        <v>2.7368790855410041</v>
      </c>
      <c r="Q9">
        <f>'q = -2'!Q37</f>
        <v>2.7268964619265126</v>
      </c>
      <c r="R9">
        <f>'q = -2'!R37</f>
        <v>2.7129402757763765</v>
      </c>
      <c r="S9">
        <f>'q = -2'!S37</f>
        <v>2.7079680723584589</v>
      </c>
      <c r="T9">
        <f>'q = -2'!T37</f>
        <v>2.7037810170808068</v>
      </c>
    </row>
    <row r="10" spans="1:20" ht="15.75" thickBot="1" x14ac:dyDescent="0.3">
      <c r="A10" t="s">
        <v>54</v>
      </c>
      <c r="B10">
        <f>B9/3</f>
        <v>1.596808911341318</v>
      </c>
      <c r="C10">
        <f t="shared" ref="C10:T10" si="0">C9/3</f>
        <v>1.2409041094262239</v>
      </c>
      <c r="D10">
        <f t="shared" si="0"/>
        <v>1.1047282007177928</v>
      </c>
      <c r="E10">
        <f t="shared" si="0"/>
        <v>1.0567142458043521</v>
      </c>
      <c r="F10">
        <f t="shared" si="0"/>
        <v>1.298898448888075</v>
      </c>
      <c r="G10">
        <f t="shared" si="0"/>
        <v>1.2594958005830075</v>
      </c>
      <c r="H10">
        <f t="shared" si="0"/>
        <v>1.2410165911150857</v>
      </c>
      <c r="I10">
        <f t="shared" si="0"/>
        <v>1.0562430336690871</v>
      </c>
      <c r="J10">
        <f t="shared" si="0"/>
        <v>1.0455642611284914</v>
      </c>
      <c r="K10">
        <f t="shared" si="0"/>
        <v>1.0342382093942077</v>
      </c>
      <c r="L10">
        <f t="shared" si="0"/>
        <v>1.0107467677349165</v>
      </c>
      <c r="M10">
        <f t="shared" si="0"/>
        <v>0.95844100196297999</v>
      </c>
      <c r="N10">
        <f t="shared" si="0"/>
        <v>0.94749456242727892</v>
      </c>
      <c r="O10">
        <f t="shared" si="0"/>
        <v>0.93835819584646873</v>
      </c>
      <c r="P10">
        <f t="shared" si="0"/>
        <v>0.912293028513668</v>
      </c>
      <c r="Q10">
        <f t="shared" si="0"/>
        <v>0.90896548730883753</v>
      </c>
      <c r="R10">
        <f t="shared" si="0"/>
        <v>0.90431342525879221</v>
      </c>
      <c r="S10">
        <f t="shared" si="0"/>
        <v>0.90265602411948631</v>
      </c>
      <c r="T10">
        <f t="shared" si="0"/>
        <v>0.90126033902693559</v>
      </c>
    </row>
    <row r="11" spans="1:20" s="5" customFormat="1" ht="15.75" thickBot="1" x14ac:dyDescent="0.3">
      <c r="A11" s="4" t="s">
        <v>58</v>
      </c>
    </row>
    <row r="12" spans="1:20" x14ac:dyDescent="0.25">
      <c r="A12" t="str">
        <f>'q = -1'!A36</f>
        <v>M(q)</v>
      </c>
      <c r="B12">
        <f>'q = -1'!B36</f>
        <v>2171.1965687645684</v>
      </c>
      <c r="C12">
        <f>'q = -1'!C36</f>
        <v>5117.4350776373085</v>
      </c>
      <c r="D12">
        <f>'q = -1'!D36</f>
        <v>4600.2466689026514</v>
      </c>
      <c r="E12">
        <f>'q = -1'!E36</f>
        <v>4725.8370567182074</v>
      </c>
      <c r="F12">
        <f>'q = -1'!F36</f>
        <v>38152.03224573459</v>
      </c>
      <c r="G12">
        <f>'q = -1'!G36</f>
        <v>37364.022967707242</v>
      </c>
      <c r="H12">
        <f>'q = -1'!H36</f>
        <v>35096.566046508917</v>
      </c>
      <c r="I12">
        <f>'q = -1'!I36</f>
        <v>15096.796821612863</v>
      </c>
      <c r="J12">
        <f>'q = -1'!J36</f>
        <v>16087.848363916661</v>
      </c>
      <c r="K12">
        <f>'q = -1'!K36</f>
        <v>18947.369139203176</v>
      </c>
      <c r="L12">
        <f>'q = -1'!L36</f>
        <v>17786.360995580377</v>
      </c>
      <c r="M12">
        <f>'q = -1'!M36</f>
        <v>15398.641790232896</v>
      </c>
      <c r="N12">
        <f>'q = -1'!N36</f>
        <v>15336.144898929888</v>
      </c>
      <c r="O12">
        <f>'q = -1'!O36</f>
        <v>16120.069595571653</v>
      </c>
      <c r="P12">
        <f>'q = -1'!P36</f>
        <v>15386.336002790847</v>
      </c>
      <c r="Q12">
        <f>'q = -1'!Q36</f>
        <v>16368.205825232832</v>
      </c>
      <c r="R12">
        <f>'q = -1'!R36</f>
        <v>17842.292057210383</v>
      </c>
      <c r="S12">
        <f>'q = -1'!S36</f>
        <v>18398.168915988022</v>
      </c>
      <c r="T12">
        <f>'q = -1'!T36</f>
        <v>18832.227118194151</v>
      </c>
    </row>
    <row r="13" spans="1:20" x14ac:dyDescent="0.25">
      <c r="A13" t="str">
        <f>'q = -1'!A37</f>
        <v>t(q)</v>
      </c>
      <c r="B13">
        <f>'q = -1'!B37</f>
        <v>2.6705493943712693</v>
      </c>
      <c r="C13">
        <f>'q = -1'!C37</f>
        <v>2.001156035154823</v>
      </c>
      <c r="D13">
        <f>'q = -1'!D37</f>
        <v>1.8504817557609083</v>
      </c>
      <c r="E13">
        <f>'q = -1'!E37</f>
        <v>1.7450032874653478</v>
      </c>
      <c r="F13">
        <f>'q = -1'!F37</f>
        <v>2.0777463319754346</v>
      </c>
      <c r="G13">
        <f>'q = -1'!G37</f>
        <v>2.0055745523214346</v>
      </c>
      <c r="H13">
        <f>'q = -1'!H37</f>
        <v>1.9463991565643064</v>
      </c>
      <c r="I13">
        <f>'q = -1'!I37</f>
        <v>1.7625171156112482</v>
      </c>
      <c r="J13">
        <f>'q = -1'!J37</f>
        <v>1.7337788798523202</v>
      </c>
      <c r="K13">
        <f>'q = -1'!K37</f>
        <v>1.7105667615106048</v>
      </c>
      <c r="L13">
        <f>'q = -1'!L37</f>
        <v>1.6671039302929178</v>
      </c>
      <c r="M13">
        <f>'q = -1'!M37</f>
        <v>1.6119923386291228</v>
      </c>
      <c r="N13">
        <f>'q = -1'!N37</f>
        <v>1.593489482490656</v>
      </c>
      <c r="O13">
        <f>'q = -1'!O37</f>
        <v>1.5725569079984252</v>
      </c>
      <c r="P13">
        <f>'q = -1'!P37</f>
        <v>1.5459255148389286</v>
      </c>
      <c r="Q13">
        <f>'q = -1'!Q37</f>
        <v>1.5367411252707799</v>
      </c>
      <c r="R13">
        <f>'q = -1'!R37</f>
        <v>1.5243741713452963</v>
      </c>
      <c r="S13">
        <f>'q = -1'!S37</f>
        <v>1.5207375064439541</v>
      </c>
      <c r="T13">
        <f>'q = -1'!T37</f>
        <v>1.5163200016064073</v>
      </c>
    </row>
    <row r="14" spans="1:20" ht="15.75" thickBot="1" x14ac:dyDescent="0.3">
      <c r="A14" t="s">
        <v>54</v>
      </c>
      <c r="B14">
        <f>B13/2</f>
        <v>1.3352746971856346</v>
      </c>
      <c r="C14">
        <f t="shared" ref="C14:T14" si="1">C13/2</f>
        <v>1.0005780175774115</v>
      </c>
      <c r="D14">
        <f t="shared" si="1"/>
        <v>0.92524087788045417</v>
      </c>
      <c r="E14">
        <f t="shared" si="1"/>
        <v>0.87250164373267391</v>
      </c>
      <c r="F14">
        <f t="shared" si="1"/>
        <v>1.0388731659877173</v>
      </c>
      <c r="G14">
        <f t="shared" si="1"/>
        <v>1.0027872761607173</v>
      </c>
      <c r="H14">
        <f t="shared" si="1"/>
        <v>0.9731995782821532</v>
      </c>
      <c r="I14">
        <f t="shared" si="1"/>
        <v>0.88125855780562412</v>
      </c>
      <c r="J14">
        <f t="shared" si="1"/>
        <v>0.86688943992616008</v>
      </c>
      <c r="K14">
        <f t="shared" si="1"/>
        <v>0.85528338075530241</v>
      </c>
      <c r="L14">
        <f t="shared" si="1"/>
        <v>0.83355196514645891</v>
      </c>
      <c r="M14">
        <f t="shared" si="1"/>
        <v>0.80599616931456142</v>
      </c>
      <c r="N14">
        <f t="shared" si="1"/>
        <v>0.79674474124532801</v>
      </c>
      <c r="O14">
        <f t="shared" si="1"/>
        <v>0.78627845399921259</v>
      </c>
      <c r="P14">
        <f t="shared" si="1"/>
        <v>0.7729627574194643</v>
      </c>
      <c r="Q14">
        <f t="shared" si="1"/>
        <v>0.76837056263538994</v>
      </c>
      <c r="R14">
        <f t="shared" si="1"/>
        <v>0.76218708567264815</v>
      </c>
      <c r="S14">
        <f t="shared" si="1"/>
        <v>0.76036875322197706</v>
      </c>
      <c r="T14">
        <f t="shared" si="1"/>
        <v>0.75816000080320367</v>
      </c>
    </row>
    <row r="15" spans="1:20" s="5" customFormat="1" ht="15.75" thickBot="1" x14ac:dyDescent="0.3">
      <c r="A15" s="4" t="s">
        <v>59</v>
      </c>
    </row>
    <row r="16" spans="1:20" x14ac:dyDescent="0.25">
      <c r="A16" t="str">
        <f>'q = 1'!A36</f>
        <v>M(q)</v>
      </c>
      <c r="B16">
        <f>'q = 1'!B36</f>
        <v>0.99999999999999978</v>
      </c>
      <c r="C16">
        <f>'q = 1'!C36</f>
        <v>1</v>
      </c>
      <c r="D16">
        <f>'q = 1'!D36</f>
        <v>1.0000000000000002</v>
      </c>
      <c r="E16">
        <f>'q = 1'!E36</f>
        <v>1</v>
      </c>
      <c r="F16">
        <f>'q = 1'!F36</f>
        <v>0.99999999999999978</v>
      </c>
      <c r="G16">
        <f>'q = 1'!G36</f>
        <v>0.99999999999999978</v>
      </c>
      <c r="H16">
        <f>'q = 1'!H36</f>
        <v>0.99999999999999944</v>
      </c>
      <c r="I16">
        <f>'q = 1'!I36</f>
        <v>0.99999999999999989</v>
      </c>
      <c r="J16">
        <f>'q = 1'!J36</f>
        <v>0.99999999999999967</v>
      </c>
      <c r="K16">
        <f>'q = 1'!K36</f>
        <v>0.99999999999999978</v>
      </c>
      <c r="L16">
        <f>'q = 1'!L36</f>
        <v>0.99999999999999967</v>
      </c>
      <c r="M16">
        <f>'q = 1'!M36</f>
        <v>1.0000000000000004</v>
      </c>
      <c r="N16">
        <f>'q = 1'!N36</f>
        <v>1.0000000000000002</v>
      </c>
      <c r="O16">
        <f>'q = 1'!O36</f>
        <v>1.0000000000000002</v>
      </c>
      <c r="P16">
        <f>'q = 1'!P36</f>
        <v>0.99999999999999967</v>
      </c>
      <c r="Q16">
        <f>'q = 1'!Q36</f>
        <v>0.99999999999999978</v>
      </c>
      <c r="R16">
        <f>'q = 1'!R36</f>
        <v>1.0000000000000002</v>
      </c>
      <c r="S16">
        <f>'q = 1'!S36</f>
        <v>1.0000000000000002</v>
      </c>
      <c r="T16">
        <f>'q = 1'!T36</f>
        <v>1.0000000000000002</v>
      </c>
    </row>
    <row r="17" spans="1:20" x14ac:dyDescent="0.25">
      <c r="A17" t="str">
        <f>'q = 1'!A37</f>
        <v>t(q)</v>
      </c>
      <c r="B17">
        <f>'q = 1'!B37</f>
        <v>-7.7180591376487778E-17</v>
      </c>
      <c r="C17">
        <f>'q = 1'!C37</f>
        <v>0</v>
      </c>
      <c r="D17">
        <f>'q = 1'!D37</f>
        <v>4.8719001360046498E-17</v>
      </c>
      <c r="E17">
        <f>'q = 1'!E37</f>
        <v>0</v>
      </c>
      <c r="F17">
        <f>'q = 1'!F37</f>
        <v>-4.3732841340696495E-17</v>
      </c>
      <c r="G17">
        <f>'q = 1'!G37</f>
        <v>-4.2297435542671947E-17</v>
      </c>
      <c r="H17">
        <f>'q = 1'!H37</f>
        <v>-1.0323745271448136E-16</v>
      </c>
      <c r="I17">
        <f>'q = 1'!I37</f>
        <v>-2.0336091350376651E-17</v>
      </c>
      <c r="J17">
        <f>'q = 1'!J37</f>
        <v>-5.9619567476864385E-17</v>
      </c>
      <c r="K17">
        <f>'q = 1'!K37</f>
        <v>-3.856289065968534E-17</v>
      </c>
      <c r="L17">
        <f>'q = 1'!L37</f>
        <v>-5.6738864549309226E-17</v>
      </c>
      <c r="M17">
        <f>'q = 1'!M37</f>
        <v>7.4244538051900644E-17</v>
      </c>
      <c r="N17">
        <f>'q = 1'!N37</f>
        <v>3.6711654613817082E-17</v>
      </c>
      <c r="O17">
        <f>'q = 1'!O37</f>
        <v>3.6042965841862687E-17</v>
      </c>
      <c r="P17">
        <f>'q = 1'!P37</f>
        <v>-5.3405670929461222E-17</v>
      </c>
      <c r="Q17">
        <f>'q = 1'!Q37</f>
        <v>-3.516661834721994E-17</v>
      </c>
      <c r="R17">
        <f>'q = 1'!R37</f>
        <v>3.4576336545614999E-17</v>
      </c>
      <c r="S17">
        <f>'q = 1'!S37</f>
        <v>3.4386083293686644E-17</v>
      </c>
      <c r="T17">
        <f>'q = 1'!T37</f>
        <v>3.4204974383248494E-17</v>
      </c>
    </row>
    <row r="18" spans="1:20" ht="15.75" thickBot="1" x14ac:dyDescent="0.3">
      <c r="A18" t="s">
        <v>54</v>
      </c>
    </row>
    <row r="19" spans="1:20" s="5" customFormat="1" ht="15.75" thickBot="1" x14ac:dyDescent="0.3">
      <c r="A19" s="4" t="s">
        <v>60</v>
      </c>
    </row>
    <row r="20" spans="1:20" x14ac:dyDescent="0.25">
      <c r="A20" t="str">
        <f>'q = 2'!A36</f>
        <v>M(q)</v>
      </c>
      <c r="B20">
        <f>'q = 2'!B36</f>
        <v>0.2673338456699943</v>
      </c>
      <c r="C20">
        <f>'q = 2'!C36</f>
        <v>0.42768795150968253</v>
      </c>
      <c r="D20">
        <f>'q = 2'!D36</f>
        <v>0.32066886327614763</v>
      </c>
      <c r="E20">
        <f>'q = 2'!E36</f>
        <v>0.34461078135771872</v>
      </c>
      <c r="F20">
        <f>'q = 2'!F36</f>
        <v>0.2655099774025475</v>
      </c>
      <c r="G20">
        <f>'q = 2'!G36</f>
        <v>0.22579123434045542</v>
      </c>
      <c r="H20">
        <f>'q = 2'!H36</f>
        <v>0.24952858700337696</v>
      </c>
      <c r="I20">
        <f>'q = 2'!I36</f>
        <v>0.23355140559806317</v>
      </c>
      <c r="J20">
        <f>'q = 2'!J36</f>
        <v>0.2098020626382866</v>
      </c>
      <c r="K20">
        <f>'q = 2'!K36</f>
        <v>0.21411842197359682</v>
      </c>
      <c r="L20">
        <f>'q = 2'!L36</f>
        <v>0.22133360249899714</v>
      </c>
      <c r="M20">
        <f>'q = 2'!M36</f>
        <v>0.2324168868930091</v>
      </c>
      <c r="N20">
        <f>'q = 2'!N36</f>
        <v>0.22292526069189503</v>
      </c>
      <c r="O20">
        <f>'q = 2'!O36</f>
        <v>0.22294708363921903</v>
      </c>
      <c r="P20">
        <f>'q = 2'!P36</f>
        <v>0.21016157389150886</v>
      </c>
      <c r="Q20">
        <f>'q = 2'!Q36</f>
        <v>0.20383807485026059</v>
      </c>
      <c r="R20">
        <f>'q = 2'!R36</f>
        <v>0.20316799902941129</v>
      </c>
      <c r="S20">
        <f>'q = 2'!S36</f>
        <v>0.20120942084198551</v>
      </c>
      <c r="T20">
        <f>'q = 2'!T36</f>
        <v>0.19967754764845452</v>
      </c>
    </row>
    <row r="21" spans="1:20" x14ac:dyDescent="0.25">
      <c r="A21" t="str">
        <f>'q = 2'!A37</f>
        <v>t(q)</v>
      </c>
      <c r="B21">
        <f>'q = 2'!B37</f>
        <v>-0.45856119231075082</v>
      </c>
      <c r="C21">
        <f>'q = 2'!C37</f>
        <v>-0.19901913763537457</v>
      </c>
      <c r="D21">
        <f>'q = 2'!D37</f>
        <v>-0.24954614115217991</v>
      </c>
      <c r="E21">
        <f>'q = 2'!E37</f>
        <v>-0.21972168458069299</v>
      </c>
      <c r="F21">
        <f>'q = 2'!F37</f>
        <v>-0.26118286444450922</v>
      </c>
      <c r="G21">
        <f>'q = 2'!G37</f>
        <v>-0.28347769993764932</v>
      </c>
      <c r="H21">
        <f>'q = 2'!H37</f>
        <v>-0.25816858244594382</v>
      </c>
      <c r="I21">
        <f>'q = 2'!I37</f>
        <v>-0.26639563678128314</v>
      </c>
      <c r="J21">
        <f>'q = 2'!J37</f>
        <v>-0.2795275157102321</v>
      </c>
      <c r="K21">
        <f>'q = 2'!K37</f>
        <v>-0.26766753198061627</v>
      </c>
      <c r="L21">
        <f>'q = 2'!L37</f>
        <v>-0.25690629531781917</v>
      </c>
      <c r="M21">
        <f>'q = 2'!M37</f>
        <v>-0.2439584321646022</v>
      </c>
      <c r="N21">
        <f>'q = 2'!N37</f>
        <v>-0.24815378685101933</v>
      </c>
      <c r="O21">
        <f>'q = 2'!O37</f>
        <v>-0.2436178707637176</v>
      </c>
      <c r="P21">
        <f>'q = 2'!P37</f>
        <v>-0.25011901133544567</v>
      </c>
      <c r="Q21">
        <f>'q = 2'!Q37</f>
        <v>-0.25188642622407698</v>
      </c>
      <c r="R21">
        <f>'q = 2'!R37</f>
        <v>-0.24817117421973395</v>
      </c>
      <c r="S21">
        <f>'q = 2'!S37</f>
        <v>-0.24830576759763517</v>
      </c>
      <c r="T21">
        <f>'q = 2'!T37</f>
        <v>-0.24817524596378024</v>
      </c>
    </row>
    <row r="22" spans="1:20" ht="15.75" thickBot="1" x14ac:dyDescent="0.3">
      <c r="A22" t="s">
        <v>54</v>
      </c>
      <c r="B22">
        <f>B21/-1</f>
        <v>0.45856119231075082</v>
      </c>
      <c r="C22">
        <f t="shared" ref="C22:T22" si="2">C21/-1</f>
        <v>0.19901913763537457</v>
      </c>
      <c r="D22">
        <f t="shared" si="2"/>
        <v>0.24954614115217991</v>
      </c>
      <c r="E22">
        <f t="shared" si="2"/>
        <v>0.21972168458069299</v>
      </c>
      <c r="F22">
        <f t="shared" si="2"/>
        <v>0.26118286444450922</v>
      </c>
      <c r="G22">
        <f t="shared" si="2"/>
        <v>0.28347769993764932</v>
      </c>
      <c r="H22">
        <f t="shared" si="2"/>
        <v>0.25816858244594382</v>
      </c>
      <c r="I22">
        <f t="shared" si="2"/>
        <v>0.26639563678128314</v>
      </c>
      <c r="J22">
        <f t="shared" si="2"/>
        <v>0.2795275157102321</v>
      </c>
      <c r="K22">
        <f t="shared" si="2"/>
        <v>0.26766753198061627</v>
      </c>
      <c r="L22">
        <f t="shared" si="2"/>
        <v>0.25690629531781917</v>
      </c>
      <c r="M22">
        <f t="shared" si="2"/>
        <v>0.2439584321646022</v>
      </c>
      <c r="N22">
        <f t="shared" si="2"/>
        <v>0.24815378685101933</v>
      </c>
      <c r="O22">
        <f t="shared" si="2"/>
        <v>0.2436178707637176</v>
      </c>
      <c r="P22">
        <f t="shared" si="2"/>
        <v>0.25011901133544567</v>
      </c>
      <c r="Q22">
        <f t="shared" si="2"/>
        <v>0.25188642622407698</v>
      </c>
      <c r="R22">
        <f t="shared" si="2"/>
        <v>0.24817117421973395</v>
      </c>
      <c r="S22">
        <f t="shared" si="2"/>
        <v>0.24830576759763517</v>
      </c>
      <c r="T22">
        <f t="shared" si="2"/>
        <v>0.24817524596378024</v>
      </c>
    </row>
    <row r="23" spans="1:20" s="5" customFormat="1" ht="15.75" thickBot="1" x14ac:dyDescent="0.3">
      <c r="A23" s="4" t="s">
        <v>61</v>
      </c>
    </row>
    <row r="24" spans="1:20" x14ac:dyDescent="0.25">
      <c r="A24" t="str">
        <f>'q = 3'!A36</f>
        <v>M(q)</v>
      </c>
      <c r="B24">
        <f>'q = 3'!B36</f>
        <v>9.3756024831327819E-2</v>
      </c>
      <c r="C24">
        <f>'q = 3'!C36</f>
        <v>0.25423388991837181</v>
      </c>
      <c r="D24">
        <f>'q = 3'!D36</f>
        <v>0.15188999703443101</v>
      </c>
      <c r="E24">
        <f>'q = 3'!E36</f>
        <v>0.16975003025226582</v>
      </c>
      <c r="F24">
        <f>'q = 3'!F36</f>
        <v>0.11109661999776037</v>
      </c>
      <c r="G24">
        <f>'q = 3'!G36</f>
        <v>8.3488096533248457E-2</v>
      </c>
      <c r="H24">
        <f>'q = 3'!H36</f>
        <v>0.1020596839699506</v>
      </c>
      <c r="I24">
        <f>'q = 3'!I36</f>
        <v>9.0886710465338194E-2</v>
      </c>
      <c r="J24">
        <f>'q = 3'!J36</f>
        <v>7.3485977515496431E-2</v>
      </c>
      <c r="K24">
        <f>'q = 3'!K36</f>
        <v>7.7390756273515965E-2</v>
      </c>
      <c r="L24">
        <f>'q = 3'!L36</f>
        <v>8.2783697116491181E-2</v>
      </c>
      <c r="M24">
        <f>'q = 3'!M36</f>
        <v>9.0473195889135993E-2</v>
      </c>
      <c r="N24">
        <f>'q = 3'!N36</f>
        <v>8.2728966376505106E-2</v>
      </c>
      <c r="O24">
        <f>'q = 3'!O36</f>
        <v>7.9552550231605623E-2</v>
      </c>
      <c r="P24">
        <f>'q = 3'!P36</f>
        <v>6.9758246225261236E-2</v>
      </c>
      <c r="Q24">
        <f>'q = 3'!Q36</f>
        <v>6.3402325230358464E-2</v>
      </c>
      <c r="R24">
        <f>'q = 3'!R36</f>
        <v>5.9911724117950704E-2</v>
      </c>
      <c r="S24">
        <f>'q = 3'!S36</f>
        <v>5.865832533612985E-2</v>
      </c>
      <c r="T24">
        <f>'q = 3'!T36</f>
        <v>5.7857029856463293E-2</v>
      </c>
    </row>
    <row r="25" spans="1:20" x14ac:dyDescent="0.25">
      <c r="A25" t="str">
        <f>'q = 3'!A37</f>
        <v>t(q)</v>
      </c>
      <c r="B25">
        <f>'q = 3'!B37</f>
        <v>-0.82276730218462613</v>
      </c>
      <c r="C25">
        <f>'q = 3'!C37</f>
        <v>-0.32089616874923999</v>
      </c>
      <c r="D25">
        <f>'q = 3'!D37</f>
        <v>-0.4135014576089982</v>
      </c>
      <c r="E25">
        <f>'q = 3'!E37</f>
        <v>-0.36576189971743389</v>
      </c>
      <c r="F25">
        <f>'q = 3'!F37</f>
        <v>-0.43278051215423402</v>
      </c>
      <c r="G25">
        <f>'q = 3'!G37</f>
        <v>-0.47299820096634687</v>
      </c>
      <c r="H25">
        <f>'q = 3'!H37</f>
        <v>-0.42443410243056012</v>
      </c>
      <c r="I25">
        <f>'q = 3'!I37</f>
        <v>-0.43927051852775634</v>
      </c>
      <c r="J25">
        <f>'q = 3'!J37</f>
        <v>-0.4673128933100158</v>
      </c>
      <c r="K25">
        <f>'q = 3'!K37</f>
        <v>-0.44440672460212999</v>
      </c>
      <c r="L25">
        <f>'q = 3'!L37</f>
        <v>-0.42443799457293357</v>
      </c>
      <c r="M25">
        <f>'q = 3'!M37</f>
        <v>-0.40169288092669408</v>
      </c>
      <c r="N25">
        <f>'q = 3'!N37</f>
        <v>-0.41204447457183913</v>
      </c>
      <c r="O25">
        <f>'q = 3'!O37</f>
        <v>-0.41089451315296283</v>
      </c>
      <c r="P25">
        <f>'q = 3'!P37</f>
        <v>-0.42695424164735035</v>
      </c>
      <c r="Q25">
        <f>'q = 3'!Q37</f>
        <v>-0.43684237170303908</v>
      </c>
      <c r="R25">
        <f>'q = 3'!R37</f>
        <v>-0.43832789460971933</v>
      </c>
      <c r="S25">
        <f>'q = 3'!S37</f>
        <v>-0.43919021673040864</v>
      </c>
      <c r="T25">
        <f>'q = 3'!T37</f>
        <v>-0.43899586153974157</v>
      </c>
    </row>
    <row r="26" spans="1:20" x14ac:dyDescent="0.25">
      <c r="A26" t="s">
        <v>54</v>
      </c>
      <c r="B26">
        <f>B25/-2</f>
        <v>0.41138365109231306</v>
      </c>
      <c r="C26">
        <f t="shared" ref="C26:T26" si="3">C25/-2</f>
        <v>0.16044808437461999</v>
      </c>
      <c r="D26">
        <f t="shared" si="3"/>
        <v>0.2067507288044991</v>
      </c>
      <c r="E26">
        <f t="shared" si="3"/>
        <v>0.18288094985871695</v>
      </c>
      <c r="F26">
        <f t="shared" si="3"/>
        <v>0.21639025607711701</v>
      </c>
      <c r="G26">
        <f t="shared" si="3"/>
        <v>0.23649910048317344</v>
      </c>
      <c r="H26">
        <f t="shared" si="3"/>
        <v>0.21221705121528006</v>
      </c>
      <c r="I26">
        <f t="shared" si="3"/>
        <v>0.21963525926387817</v>
      </c>
      <c r="J26">
        <f t="shared" si="3"/>
        <v>0.2336564466550079</v>
      </c>
      <c r="K26">
        <f t="shared" si="3"/>
        <v>0.22220336230106499</v>
      </c>
      <c r="L26">
        <f t="shared" si="3"/>
        <v>0.21221899728646679</v>
      </c>
      <c r="M26">
        <f t="shared" si="3"/>
        <v>0.20084644046334704</v>
      </c>
      <c r="N26">
        <f t="shared" si="3"/>
        <v>0.20602223728591956</v>
      </c>
      <c r="O26">
        <f t="shared" si="3"/>
        <v>0.20544725657648141</v>
      </c>
      <c r="P26">
        <f t="shared" si="3"/>
        <v>0.21347712082367518</v>
      </c>
      <c r="Q26">
        <f t="shared" si="3"/>
        <v>0.21842118585151954</v>
      </c>
      <c r="R26">
        <f t="shared" si="3"/>
        <v>0.21916394730485966</v>
      </c>
      <c r="S26">
        <f t="shared" si="3"/>
        <v>0.21959510836520432</v>
      </c>
      <c r="T26">
        <f t="shared" si="3"/>
        <v>0.21949793076987079</v>
      </c>
    </row>
  </sheetData>
  <sortState ref="A3:T4">
    <sortCondition ref="B3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260D-EF73-4956-9389-A3078C67C96A}">
  <dimension ref="A1:T13"/>
  <sheetViews>
    <sheetView topLeftCell="A4" zoomScaleNormal="100" workbookViewId="0">
      <selection activeCell="U12" sqref="U12"/>
    </sheetView>
  </sheetViews>
  <sheetFormatPr defaultRowHeight="15" x14ac:dyDescent="0.25"/>
  <sheetData>
    <row r="1" spans="1:20" x14ac:dyDescent="0.25">
      <c r="A1" t="s">
        <v>56</v>
      </c>
      <c r="B1" t="s">
        <v>64</v>
      </c>
    </row>
    <row r="2" spans="1:20" x14ac:dyDescent="0.25">
      <c r="A2">
        <v>-2</v>
      </c>
      <c r="B2">
        <f>'q = -2'!B37</f>
        <v>4.7904267340239537</v>
      </c>
      <c r="C2">
        <f>'q = -2'!C37</f>
        <v>3.7227123282786714</v>
      </c>
      <c r="D2">
        <f>'q = -2'!D37</f>
        <v>3.3141846021533783</v>
      </c>
      <c r="E2">
        <f>'q = -2'!E37</f>
        <v>3.1701427374130562</v>
      </c>
      <c r="F2">
        <f>'q = -2'!F37</f>
        <v>3.8966953466642251</v>
      </c>
      <c r="G2">
        <f>'q = -2'!G37</f>
        <v>3.7784874017490222</v>
      </c>
      <c r="H2">
        <f>'q = -2'!H37</f>
        <v>3.7230497733452568</v>
      </c>
      <c r="I2">
        <f>'q = -2'!I37</f>
        <v>3.1687291010072616</v>
      </c>
      <c r="J2">
        <f>'q = -2'!J37</f>
        <v>3.1366927833854743</v>
      </c>
      <c r="K2">
        <f>'q = -2'!K37</f>
        <v>3.1027146281826234</v>
      </c>
      <c r="L2">
        <f>'q = -2'!L37</f>
        <v>3.0322403032047496</v>
      </c>
      <c r="M2">
        <f>'q = -2'!M37</f>
        <v>2.8753230058889399</v>
      </c>
      <c r="N2">
        <f>'q = -2'!N37</f>
        <v>2.8424836872818369</v>
      </c>
      <c r="O2">
        <f>'q = -2'!O37</f>
        <v>2.8150745875394061</v>
      </c>
      <c r="P2">
        <f>'q = -2'!P37</f>
        <v>2.7368790855410041</v>
      </c>
      <c r="Q2">
        <f>'q = -2'!Q37</f>
        <v>2.7268964619265126</v>
      </c>
      <c r="R2">
        <f>'q = -2'!R37</f>
        <v>2.7129402757763765</v>
      </c>
      <c r="S2">
        <f>'q = -2'!S37</f>
        <v>2.7079680723584589</v>
      </c>
      <c r="T2">
        <f>'q = -2'!T37</f>
        <v>2.7037810170808068</v>
      </c>
    </row>
    <row r="3" spans="1:20" x14ac:dyDescent="0.25">
      <c r="A3">
        <v>-1</v>
      </c>
      <c r="B3">
        <f>'q = -1'!B37</f>
        <v>2.6705493943712693</v>
      </c>
      <c r="C3">
        <f>'q = -1'!C37</f>
        <v>2.001156035154823</v>
      </c>
      <c r="D3">
        <f>'q = -1'!D37</f>
        <v>1.8504817557609083</v>
      </c>
      <c r="E3">
        <f>'q = -1'!E37</f>
        <v>1.7450032874653478</v>
      </c>
      <c r="F3">
        <f>'q = -1'!F37</f>
        <v>2.0777463319754346</v>
      </c>
      <c r="G3">
        <f>'q = -1'!G37</f>
        <v>2.0055745523214346</v>
      </c>
      <c r="H3">
        <f>'q = -1'!H37</f>
        <v>1.9463991565643064</v>
      </c>
      <c r="I3">
        <f>'q = -1'!I37</f>
        <v>1.7625171156112482</v>
      </c>
      <c r="J3">
        <f>'q = -1'!J37</f>
        <v>1.7337788798523202</v>
      </c>
      <c r="K3">
        <f>'q = -1'!K37</f>
        <v>1.7105667615106048</v>
      </c>
      <c r="L3">
        <f>'q = -1'!L37</f>
        <v>1.6671039302929178</v>
      </c>
      <c r="M3">
        <f>'q = -1'!M37</f>
        <v>1.6119923386291228</v>
      </c>
      <c r="N3">
        <f>'q = -1'!N37</f>
        <v>1.593489482490656</v>
      </c>
      <c r="O3">
        <f>'q = -1'!O37</f>
        <v>1.5725569079984252</v>
      </c>
      <c r="P3">
        <f>'q = -1'!P37</f>
        <v>1.5459255148389286</v>
      </c>
      <c r="Q3">
        <f>'q = -1'!Q37</f>
        <v>1.5367411252707799</v>
      </c>
      <c r="R3">
        <f>'q = -1'!R37</f>
        <v>1.5243741713452963</v>
      </c>
      <c r="S3">
        <f>'q = -1'!S37</f>
        <v>1.5207375064439541</v>
      </c>
      <c r="T3">
        <f>'q = -1'!T37</f>
        <v>1.5163200016064073</v>
      </c>
    </row>
    <row r="4" spans="1:20" x14ac:dyDescent="0.25">
      <c r="A4">
        <v>1</v>
      </c>
      <c r="B4">
        <f>'q = 1'!B37</f>
        <v>-7.7180591376487778E-17</v>
      </c>
      <c r="C4">
        <f>'q = 1'!C37</f>
        <v>0</v>
      </c>
      <c r="D4">
        <f>'q = 1'!D37</f>
        <v>4.8719001360046498E-17</v>
      </c>
      <c r="E4">
        <f>'q = 1'!E37</f>
        <v>0</v>
      </c>
      <c r="F4">
        <f>'q = 1'!F37</f>
        <v>-4.3732841340696495E-17</v>
      </c>
      <c r="G4">
        <f>'q = 1'!G37</f>
        <v>-4.2297435542671947E-17</v>
      </c>
      <c r="H4">
        <f>'q = 1'!H37</f>
        <v>-1.0323745271448136E-16</v>
      </c>
      <c r="I4">
        <f>'q = 1'!I37</f>
        <v>-2.0336091350376651E-17</v>
      </c>
      <c r="J4">
        <f>'q = 1'!J37</f>
        <v>-5.9619567476864385E-17</v>
      </c>
      <c r="K4">
        <f>'q = 1'!K37</f>
        <v>-3.856289065968534E-17</v>
      </c>
      <c r="L4">
        <f>'q = 1'!L37</f>
        <v>-5.6738864549309226E-17</v>
      </c>
      <c r="M4">
        <f>'q = 1'!M37</f>
        <v>7.4244538051900644E-17</v>
      </c>
      <c r="N4">
        <f>'q = 1'!N37</f>
        <v>3.6711654613817082E-17</v>
      </c>
      <c r="O4">
        <f>'q = 1'!O37</f>
        <v>3.6042965841862687E-17</v>
      </c>
      <c r="P4">
        <f>'q = 1'!P37</f>
        <v>-5.3405670929461222E-17</v>
      </c>
      <c r="Q4">
        <f>'q = 1'!Q37</f>
        <v>-3.516661834721994E-17</v>
      </c>
      <c r="R4">
        <f>'q = 1'!R37</f>
        <v>3.4576336545614999E-17</v>
      </c>
      <c r="S4">
        <f>'q = 1'!S37</f>
        <v>3.4386083293686644E-17</v>
      </c>
      <c r="T4">
        <f>'q = 1'!T37</f>
        <v>3.4204974383248494E-17</v>
      </c>
    </row>
    <row r="5" spans="1:20" x14ac:dyDescent="0.25">
      <c r="A5">
        <v>2</v>
      </c>
      <c r="B5">
        <f>'q = 2'!B37</f>
        <v>-0.45856119231075082</v>
      </c>
      <c r="C5">
        <f>'q = 2'!C37</f>
        <v>-0.19901913763537457</v>
      </c>
      <c r="D5">
        <f>'q = 2'!D37</f>
        <v>-0.24954614115217991</v>
      </c>
      <c r="E5">
        <f>'q = 2'!E37</f>
        <v>-0.21972168458069299</v>
      </c>
      <c r="F5">
        <f>'q = 2'!F37</f>
        <v>-0.26118286444450922</v>
      </c>
      <c r="G5">
        <f>'q = 2'!G37</f>
        <v>-0.28347769993764932</v>
      </c>
      <c r="H5">
        <f>'q = 2'!H37</f>
        <v>-0.25816858244594382</v>
      </c>
      <c r="I5">
        <f>'q = 2'!I37</f>
        <v>-0.26639563678128314</v>
      </c>
      <c r="J5">
        <f>'q = 2'!J37</f>
        <v>-0.2795275157102321</v>
      </c>
      <c r="K5">
        <f>'q = 2'!K37</f>
        <v>-0.26766753198061627</v>
      </c>
      <c r="L5">
        <f>'q = 2'!L37</f>
        <v>-0.25690629531781917</v>
      </c>
      <c r="M5">
        <f>'q = 2'!M37</f>
        <v>-0.2439584321646022</v>
      </c>
      <c r="N5">
        <f>'q = 2'!N37</f>
        <v>-0.24815378685101933</v>
      </c>
      <c r="O5">
        <f>'q = 2'!O37</f>
        <v>-0.2436178707637176</v>
      </c>
      <c r="P5">
        <f>'q = 2'!P37</f>
        <v>-0.25011901133544567</v>
      </c>
      <c r="Q5">
        <f>'q = 2'!Q37</f>
        <v>-0.25188642622407698</v>
      </c>
      <c r="R5">
        <f>'q = 2'!R37</f>
        <v>-0.24817117421973395</v>
      </c>
      <c r="S5">
        <f>'q = 2'!S37</f>
        <v>-0.24830576759763517</v>
      </c>
      <c r="T5">
        <f>'q = 2'!T37</f>
        <v>-0.24817524596378024</v>
      </c>
    </row>
    <row r="6" spans="1:20" x14ac:dyDescent="0.25">
      <c r="A6">
        <v>3</v>
      </c>
      <c r="B6">
        <f>'q = 3'!B37</f>
        <v>-0.82276730218462613</v>
      </c>
      <c r="C6">
        <f>'q = 3'!C37</f>
        <v>-0.32089616874923999</v>
      </c>
      <c r="D6">
        <f>'q = 3'!D37</f>
        <v>-0.4135014576089982</v>
      </c>
      <c r="E6">
        <f>'q = 3'!E37</f>
        <v>-0.36576189971743389</v>
      </c>
      <c r="F6">
        <f>'q = 3'!F37</f>
        <v>-0.43278051215423402</v>
      </c>
      <c r="G6">
        <f>'q = 3'!G37</f>
        <v>-0.47299820096634687</v>
      </c>
      <c r="H6">
        <f>'q = 3'!H37</f>
        <v>-0.42443410243056012</v>
      </c>
      <c r="I6">
        <f>'q = 3'!I37</f>
        <v>-0.43927051852775634</v>
      </c>
      <c r="J6">
        <f>'q = 3'!J37</f>
        <v>-0.4673128933100158</v>
      </c>
      <c r="K6">
        <f>'q = 3'!K37</f>
        <v>-0.44440672460212999</v>
      </c>
      <c r="L6">
        <f>'q = 3'!L37</f>
        <v>-0.42443799457293357</v>
      </c>
      <c r="M6">
        <f>'q = 3'!M37</f>
        <v>-0.40169288092669408</v>
      </c>
      <c r="N6">
        <f>'q = 3'!N37</f>
        <v>-0.41204447457183913</v>
      </c>
      <c r="O6">
        <f>'q = 3'!O37</f>
        <v>-0.41089451315296283</v>
      </c>
      <c r="P6">
        <f>'q = 3'!P37</f>
        <v>-0.42695424164735035</v>
      </c>
      <c r="Q6">
        <f>'q = 3'!Q37</f>
        <v>-0.43684237170303908</v>
      </c>
      <c r="R6">
        <f>'q = 3'!R37</f>
        <v>-0.43832789460971933</v>
      </c>
      <c r="S6">
        <f>'q = 3'!S37</f>
        <v>-0.43919021673040864</v>
      </c>
      <c r="T6">
        <f>'q = 3'!T37</f>
        <v>-0.43899586153974157</v>
      </c>
    </row>
    <row r="9" spans="1:20" x14ac:dyDescent="0.25">
      <c r="A9" t="s">
        <v>56</v>
      </c>
      <c r="B9" t="s">
        <v>65</v>
      </c>
    </row>
    <row r="10" spans="1:20" x14ac:dyDescent="0.25">
      <c r="A10">
        <v>-2</v>
      </c>
      <c r="B10">
        <f>B2/(1-$A10)</f>
        <v>1.596808911341318</v>
      </c>
      <c r="C10">
        <f t="shared" ref="C10:T11" si="0">C2/(1-$A10)</f>
        <v>1.2409041094262239</v>
      </c>
      <c r="D10">
        <f t="shared" si="0"/>
        <v>1.1047282007177928</v>
      </c>
      <c r="E10">
        <f t="shared" si="0"/>
        <v>1.0567142458043521</v>
      </c>
      <c r="F10">
        <f t="shared" si="0"/>
        <v>1.298898448888075</v>
      </c>
      <c r="G10">
        <f t="shared" si="0"/>
        <v>1.2594958005830075</v>
      </c>
      <c r="H10">
        <f t="shared" si="0"/>
        <v>1.2410165911150857</v>
      </c>
      <c r="I10">
        <f t="shared" si="0"/>
        <v>1.0562430336690871</v>
      </c>
      <c r="J10">
        <f t="shared" si="0"/>
        <v>1.0455642611284914</v>
      </c>
      <c r="K10">
        <f t="shared" si="0"/>
        <v>1.0342382093942077</v>
      </c>
      <c r="L10">
        <f t="shared" si="0"/>
        <v>1.0107467677349165</v>
      </c>
      <c r="M10">
        <f t="shared" si="0"/>
        <v>0.95844100196297999</v>
      </c>
      <c r="N10">
        <f t="shared" si="0"/>
        <v>0.94749456242727892</v>
      </c>
      <c r="O10">
        <f t="shared" si="0"/>
        <v>0.93835819584646873</v>
      </c>
      <c r="P10">
        <f t="shared" si="0"/>
        <v>0.912293028513668</v>
      </c>
      <c r="Q10">
        <f t="shared" si="0"/>
        <v>0.90896548730883753</v>
      </c>
      <c r="R10">
        <f t="shared" si="0"/>
        <v>0.90431342525879221</v>
      </c>
      <c r="S10">
        <f t="shared" si="0"/>
        <v>0.90265602411948631</v>
      </c>
      <c r="T10">
        <f t="shared" si="0"/>
        <v>0.90126033902693559</v>
      </c>
    </row>
    <row r="11" spans="1:20" x14ac:dyDescent="0.25">
      <c r="A11">
        <v>-1</v>
      </c>
      <c r="B11">
        <f t="shared" ref="B11:Q11" si="1">B3/(1-$A11)</f>
        <v>1.3352746971856346</v>
      </c>
      <c r="C11">
        <f t="shared" si="1"/>
        <v>1.0005780175774115</v>
      </c>
      <c r="D11">
        <f t="shared" si="1"/>
        <v>0.92524087788045417</v>
      </c>
      <c r="E11">
        <f t="shared" si="1"/>
        <v>0.87250164373267391</v>
      </c>
      <c r="F11">
        <f t="shared" si="1"/>
        <v>1.0388731659877173</v>
      </c>
      <c r="G11">
        <f t="shared" si="1"/>
        <v>1.0027872761607173</v>
      </c>
      <c r="H11">
        <f t="shared" si="1"/>
        <v>0.9731995782821532</v>
      </c>
      <c r="I11">
        <f t="shared" si="1"/>
        <v>0.88125855780562412</v>
      </c>
      <c r="J11">
        <f t="shared" si="1"/>
        <v>0.86688943992616008</v>
      </c>
      <c r="K11">
        <f t="shared" si="1"/>
        <v>0.85528338075530241</v>
      </c>
      <c r="L11">
        <f t="shared" si="1"/>
        <v>0.83355196514645891</v>
      </c>
      <c r="M11">
        <f t="shared" si="1"/>
        <v>0.80599616931456142</v>
      </c>
      <c r="N11">
        <f t="shared" si="1"/>
        <v>0.79674474124532801</v>
      </c>
      <c r="O11">
        <f t="shared" si="1"/>
        <v>0.78627845399921259</v>
      </c>
      <c r="P11">
        <f t="shared" si="1"/>
        <v>0.7729627574194643</v>
      </c>
      <c r="Q11">
        <f t="shared" si="1"/>
        <v>0.76837056263538994</v>
      </c>
      <c r="R11">
        <f t="shared" si="0"/>
        <v>0.76218708567264815</v>
      </c>
      <c r="S11">
        <f t="shared" si="0"/>
        <v>0.76036875322197706</v>
      </c>
      <c r="T11">
        <f t="shared" si="0"/>
        <v>0.75816000080320367</v>
      </c>
    </row>
    <row r="12" spans="1:20" x14ac:dyDescent="0.25">
      <c r="A12">
        <v>2</v>
      </c>
      <c r="B12">
        <f t="shared" ref="B12:T12" si="2">B5/(1-$A12)</f>
        <v>0.45856119231075082</v>
      </c>
      <c r="C12">
        <f t="shared" si="2"/>
        <v>0.19901913763537457</v>
      </c>
      <c r="D12">
        <f t="shared" si="2"/>
        <v>0.24954614115217991</v>
      </c>
      <c r="E12">
        <f t="shared" si="2"/>
        <v>0.21972168458069299</v>
      </c>
      <c r="F12">
        <f t="shared" si="2"/>
        <v>0.26118286444450922</v>
      </c>
      <c r="G12">
        <f t="shared" si="2"/>
        <v>0.28347769993764932</v>
      </c>
      <c r="H12">
        <f t="shared" si="2"/>
        <v>0.25816858244594382</v>
      </c>
      <c r="I12">
        <f t="shared" si="2"/>
        <v>0.26639563678128314</v>
      </c>
      <c r="J12">
        <f t="shared" si="2"/>
        <v>0.2795275157102321</v>
      </c>
      <c r="K12">
        <f t="shared" si="2"/>
        <v>0.26766753198061627</v>
      </c>
      <c r="L12">
        <f t="shared" si="2"/>
        <v>0.25690629531781917</v>
      </c>
      <c r="M12">
        <f t="shared" si="2"/>
        <v>0.2439584321646022</v>
      </c>
      <c r="N12">
        <f t="shared" si="2"/>
        <v>0.24815378685101933</v>
      </c>
      <c r="O12">
        <f t="shared" si="2"/>
        <v>0.2436178707637176</v>
      </c>
      <c r="P12">
        <f t="shared" si="2"/>
        <v>0.25011901133544567</v>
      </c>
      <c r="Q12">
        <f t="shared" si="2"/>
        <v>0.25188642622407698</v>
      </c>
      <c r="R12">
        <f t="shared" si="2"/>
        <v>0.24817117421973395</v>
      </c>
      <c r="S12">
        <f t="shared" si="2"/>
        <v>0.24830576759763517</v>
      </c>
      <c r="T12">
        <f t="shared" si="2"/>
        <v>0.24817524596378024</v>
      </c>
    </row>
    <row r="13" spans="1:20" x14ac:dyDescent="0.25">
      <c r="A13">
        <v>3</v>
      </c>
      <c r="B13">
        <f t="shared" ref="B13:T13" si="3">B6/(1-$A13)</f>
        <v>0.41138365109231306</v>
      </c>
      <c r="C13">
        <f t="shared" si="3"/>
        <v>0.16044808437461999</v>
      </c>
      <c r="D13">
        <f t="shared" si="3"/>
        <v>0.2067507288044991</v>
      </c>
      <c r="E13">
        <f t="shared" si="3"/>
        <v>0.18288094985871695</v>
      </c>
      <c r="F13">
        <f t="shared" si="3"/>
        <v>0.21639025607711701</v>
      </c>
      <c r="G13">
        <f t="shared" si="3"/>
        <v>0.23649910048317344</v>
      </c>
      <c r="H13">
        <f t="shared" si="3"/>
        <v>0.21221705121528006</v>
      </c>
      <c r="I13">
        <f t="shared" si="3"/>
        <v>0.21963525926387817</v>
      </c>
      <c r="J13">
        <f t="shared" si="3"/>
        <v>0.2336564466550079</v>
      </c>
      <c r="K13">
        <f t="shared" si="3"/>
        <v>0.22220336230106499</v>
      </c>
      <c r="L13">
        <f t="shared" si="3"/>
        <v>0.21221899728646679</v>
      </c>
      <c r="M13">
        <f t="shared" si="3"/>
        <v>0.20084644046334704</v>
      </c>
      <c r="N13">
        <f t="shared" si="3"/>
        <v>0.20602223728591956</v>
      </c>
      <c r="O13">
        <f t="shared" si="3"/>
        <v>0.20544725657648141</v>
      </c>
      <c r="P13">
        <f t="shared" si="3"/>
        <v>0.21347712082367518</v>
      </c>
      <c r="Q13">
        <f t="shared" si="3"/>
        <v>0.21842118585151954</v>
      </c>
      <c r="R13">
        <f t="shared" si="3"/>
        <v>0.21916394730485966</v>
      </c>
      <c r="S13">
        <f t="shared" si="3"/>
        <v>0.21959510836520432</v>
      </c>
      <c r="T13">
        <f t="shared" si="3"/>
        <v>0.21949793076987079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исходные</vt:lpstr>
      <vt:lpstr>накопительные</vt:lpstr>
      <vt:lpstr>q = 1</vt:lpstr>
      <vt:lpstr>q = 2</vt:lpstr>
      <vt:lpstr>q = 3</vt:lpstr>
      <vt:lpstr>q = -1</vt:lpstr>
      <vt:lpstr>q = -2</vt:lpstr>
      <vt:lpstr>Итого</vt:lpstr>
      <vt:lpstr>Еще итого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2019-11-25T15:24:05Z</dcterms:created>
  <dcterms:modified xsi:type="dcterms:W3CDTF">2019-12-11T06:22:04Z</dcterms:modified>
</cp:coreProperties>
</file>