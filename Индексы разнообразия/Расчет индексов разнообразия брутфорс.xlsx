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lad\OneDrive\Рабочий стол\"/>
    </mc:Choice>
  </mc:AlternateContent>
  <xr:revisionPtr revIDLastSave="0" documentId="13_ncr:1_{3B18072C-3E13-4FA9-8164-25F579445576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  <sheet name="Лист2" sheetId="2" r:id="rId2"/>
    <sheet name="Лист3" sheetId="3" r:id="rId3"/>
  </sheets>
  <calcPr calcId="179021"/>
</workbook>
</file>

<file path=xl/calcChain.xml><?xml version="1.0" encoding="utf-8"?>
<calcChain xmlns="http://schemas.openxmlformats.org/spreadsheetml/2006/main">
  <c r="C150" i="1" l="1"/>
  <c r="B149" i="1"/>
  <c r="B147" i="1"/>
  <c r="B146" i="1"/>
  <c r="E3" i="1"/>
  <c r="B148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2" i="1"/>
  <c r="B152" i="1"/>
  <c r="F138" i="1"/>
  <c r="B150" i="1"/>
  <c r="B15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9" i="1"/>
  <c r="F2" i="1"/>
  <c r="B14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2" i="1"/>
  <c r="C141" i="1"/>
  <c r="B141" i="1"/>
  <c r="D141" i="1" l="1"/>
</calcChain>
</file>

<file path=xl/sharedStrings.xml><?xml version="1.0" encoding="utf-8"?>
<sst xmlns="http://schemas.openxmlformats.org/spreadsheetml/2006/main" count="303" uniqueCount="164">
  <si>
    <t>N описания полевой</t>
  </si>
  <si>
    <t>КП-72</t>
  </si>
  <si>
    <t>КП-36</t>
  </si>
  <si>
    <t>КП-20</t>
  </si>
  <si>
    <t>КП-49</t>
  </si>
  <si>
    <t>ДП-58</t>
  </si>
  <si>
    <t>ДП-113</t>
  </si>
  <si>
    <t>ДП-15</t>
  </si>
  <si>
    <t>ДП-101</t>
  </si>
  <si>
    <t>УП-108</t>
  </si>
  <si>
    <t>УП-102</t>
  </si>
  <si>
    <t>УП-61</t>
  </si>
  <si>
    <t>УП-103</t>
  </si>
  <si>
    <t>Achillea millefolium</t>
  </si>
  <si>
    <t>Aconitum excelsum Rchb.</t>
  </si>
  <si>
    <t>Actaea spicata L.</t>
  </si>
  <si>
    <t>Actea erytrocarpa Fisch.</t>
  </si>
  <si>
    <t>Adenophora lilifolia (L.) A. DC.</t>
  </si>
  <si>
    <t>Aegopodium podagraria L.</t>
  </si>
  <si>
    <t>Agrimonia asiatica Juz.</t>
  </si>
  <si>
    <t>Agrostis  tenuis Sibth.</t>
  </si>
  <si>
    <t>Ajuga reptans L.</t>
  </si>
  <si>
    <t>Alchemilla L.</t>
  </si>
  <si>
    <t>Angelica sylvestris L.</t>
  </si>
  <si>
    <t>Anthriscus sylvestris (L.) Hoffm.</t>
  </si>
  <si>
    <t>Asarum europaeum L.</t>
  </si>
  <si>
    <t>Asperula odorata L.</t>
  </si>
  <si>
    <t>Athyrium filix-femina (L.) Roth.</t>
  </si>
  <si>
    <t>Atragene sibirica L.</t>
  </si>
  <si>
    <t>Betonica officinalis L.</t>
  </si>
  <si>
    <t>Brachypodium pinnatum (L.) Beauv.</t>
  </si>
  <si>
    <t>Bupleurum aureum Fisch</t>
  </si>
  <si>
    <t>Cacalia hastata L.</t>
  </si>
  <si>
    <t>Calamagrostis arundinacea (L.) Roth.</t>
  </si>
  <si>
    <t>Calamagrostis epigeios (L.) Roth.</t>
  </si>
  <si>
    <t>Campanula latifolia L.</t>
  </si>
  <si>
    <t>Campanula trachelium L.</t>
  </si>
  <si>
    <t>Carex atherodes Spreng.</t>
  </si>
  <si>
    <t>Carex leporina L.</t>
  </si>
  <si>
    <t>Carex pallescens L.</t>
  </si>
  <si>
    <t>Carex pilosa Scop.</t>
  </si>
  <si>
    <t>Carex rhisina Blytt. ex Lindbl.</t>
  </si>
  <si>
    <t>Cerastium pauciflorum Stev. ex Ser.</t>
  </si>
  <si>
    <t>Chamerion angustifolium (L.) Holub</t>
  </si>
  <si>
    <t>Cicerbita macrophylla (Willd.) Wallr.</t>
  </si>
  <si>
    <t>Circaea alpina L.</t>
  </si>
  <si>
    <t>Cirsium heterophyllum (L.) Hill.</t>
  </si>
  <si>
    <t>Cirsium oleraceum (L.) Scop.</t>
  </si>
  <si>
    <t>Crepis paludosa (L.) Moench.</t>
  </si>
  <si>
    <t>Crepis sibirica L.</t>
  </si>
  <si>
    <t>Dactylis glomerata L.</t>
  </si>
  <si>
    <t>Daphne mezereum L.</t>
  </si>
  <si>
    <t>Deschampsia caespitosa (L.) Beauv.</t>
  </si>
  <si>
    <t>Digitalis grandiflora Mill.</t>
  </si>
  <si>
    <t>Dryopteris carthusiana (Vill.) H.P. Fuchs.</t>
  </si>
  <si>
    <t xml:space="preserve">Dryopteris expansa (C. Presl) Fraser- Jenkins et Jermy </t>
  </si>
  <si>
    <t>Dryopteris filix-mas (L.) Schott</t>
  </si>
  <si>
    <t>Epilobium palustre L.</t>
  </si>
  <si>
    <t>Equisetum sylvaticum L.</t>
  </si>
  <si>
    <t>Festuca gigantea (L.) Vill.</t>
  </si>
  <si>
    <t>Filipendula ulmaria (L.) Maxim.</t>
  </si>
  <si>
    <t>Fragaria vesca L.</t>
  </si>
  <si>
    <t>Galeopsis bifida Boenn.</t>
  </si>
  <si>
    <t>Galium aparine L.</t>
  </si>
  <si>
    <t>Galium boreale L.</t>
  </si>
  <si>
    <t>Galium mollugo L.</t>
  </si>
  <si>
    <t>Geranium sylvaticum L.</t>
  </si>
  <si>
    <t>Geum rivale L.</t>
  </si>
  <si>
    <t>Geum urbanum L.</t>
  </si>
  <si>
    <t>Glechoma hederacea L.</t>
  </si>
  <si>
    <t>Goodyera repens (L.) R. Br.</t>
  </si>
  <si>
    <t>Gymnocarpium dryopteris (L.) Newm.</t>
  </si>
  <si>
    <t>Heracleum sibiricum L.</t>
  </si>
  <si>
    <t>Hieracium neroikense Juxip</t>
  </si>
  <si>
    <t>Hieracium pseuderectum Schljak.</t>
  </si>
  <si>
    <t>Hieracium umbellatum L.</t>
  </si>
  <si>
    <t>Hypericum perforatum L.</t>
  </si>
  <si>
    <t>Impatiens noli-tangere L.</t>
  </si>
  <si>
    <t>Juncus effusus L.</t>
  </si>
  <si>
    <t>Juncus filiformis L.</t>
  </si>
  <si>
    <t>Knautia arvensis (L.) Coult.</t>
  </si>
  <si>
    <t>Lathyrus gmelinii Fritsch</t>
  </si>
  <si>
    <t>Lathyrus pratensis L.</t>
  </si>
  <si>
    <t>Lathyrus vernus (L.) Bernh.</t>
  </si>
  <si>
    <t>Lycopodium annotinum L.</t>
  </si>
  <si>
    <t>Lycopodium clavatum L.</t>
  </si>
  <si>
    <t>Lilium pilosisculum (Freyn) Miscz (L. martagon L.)</t>
  </si>
  <si>
    <t>Linnaea borealis L.</t>
  </si>
  <si>
    <t>Luzula pilosa (L.) Willd.</t>
  </si>
  <si>
    <t>Majanthemum bifolium (L) F.W. Schmidt</t>
  </si>
  <si>
    <t>Melampyrum pratense L.</t>
  </si>
  <si>
    <t>Melica nutans L.</t>
  </si>
  <si>
    <t>Milium effusum L.</t>
  </si>
  <si>
    <t>Myosotis caespitosa.</t>
  </si>
  <si>
    <t>Myosotis sylvatica Hoffm.</t>
  </si>
  <si>
    <t>Origanum vulgare L.</t>
  </si>
  <si>
    <t>Oxalis acetosella L.</t>
  </si>
  <si>
    <t>Paris quadrifolia L.</t>
  </si>
  <si>
    <t>Phalaroides arundinacea (L.) Rausch.</t>
  </si>
  <si>
    <t xml:space="preserve">Phegopteris connectilis (Michx.) Watt. </t>
  </si>
  <si>
    <t>Phleum pratense L.</t>
  </si>
  <si>
    <t>Pimpinella saxifraga L.</t>
  </si>
  <si>
    <t>Platanthera bifolia (L.) Rich.</t>
  </si>
  <si>
    <t>Pleurospermum uralense Hoffm.</t>
  </si>
  <si>
    <t>Poa pratensis L.</t>
  </si>
  <si>
    <t>Poa sibirica Roshev.</t>
  </si>
  <si>
    <t>Poa supina Schrad.</t>
  </si>
  <si>
    <t>Poa trivialis L.</t>
  </si>
  <si>
    <t>Poligonum  alpinum All.</t>
  </si>
  <si>
    <t>Poligonum bistorta L.</t>
  </si>
  <si>
    <t>Potentilla erecta (L) Raeusch.</t>
  </si>
  <si>
    <t>Primula macrocalyx Bunge</t>
  </si>
  <si>
    <t>Prunella vulgaris L.</t>
  </si>
  <si>
    <t>Pulmonaria dacica Simonk</t>
  </si>
  <si>
    <t xml:space="preserve">Pulmonaria obscura Dumort </t>
  </si>
  <si>
    <t>Pyrola minor L.</t>
  </si>
  <si>
    <t>Ranunculus auricomus. L.</t>
  </si>
  <si>
    <t>Ranunculus borealis Trautv.</t>
  </si>
  <si>
    <t>Ranunculus cassubicus L.</t>
  </si>
  <si>
    <t>Ranunculus monophyllus Ovcz.</t>
  </si>
  <si>
    <t>Ranunculus repens L.</t>
  </si>
  <si>
    <t>Rubus saxatilis L.</t>
  </si>
  <si>
    <t>Rumex acetosella L.</t>
  </si>
  <si>
    <t>Sanguisorba officinalis L.</t>
  </si>
  <si>
    <t>Scirpus sylvaticus L.</t>
  </si>
  <si>
    <t>Scorzonera ruprechtiana Lipsch. et Krasch. ex Lipsch.</t>
  </si>
  <si>
    <t>Scrophularia nodosa L.</t>
  </si>
  <si>
    <t>Senecio nemorensis L.</t>
  </si>
  <si>
    <t>Solidago virgaurea L.</t>
  </si>
  <si>
    <t>Stachys sylvatica L.</t>
  </si>
  <si>
    <t>Stellaria bungeana Fenzl.</t>
  </si>
  <si>
    <t>Stellaria holostea L.</t>
  </si>
  <si>
    <t>Succisa pratensis Moench.</t>
  </si>
  <si>
    <t>Trientalis europaea L.</t>
  </si>
  <si>
    <t>Trifolium repens L.</t>
  </si>
  <si>
    <t>Trollius europaeus L.</t>
  </si>
  <si>
    <t>Urtica dioica L.</t>
  </si>
  <si>
    <t>Vaccinium myrtillus L.</t>
  </si>
  <si>
    <t>Valeriana wolgensis Kazak.</t>
  </si>
  <si>
    <t>Veratrum lobelianum Bernh.</t>
  </si>
  <si>
    <t>Veronica chamaedrys L.</t>
  </si>
  <si>
    <t>Veronica officinalis</t>
  </si>
  <si>
    <t>Vicia cracca L.</t>
  </si>
  <si>
    <t>Vicia sepium L.</t>
  </si>
  <si>
    <t>Viola canina L.</t>
  </si>
  <si>
    <t>Viola epipsila Ledeb.</t>
  </si>
  <si>
    <t>Viola mirabilis L.</t>
  </si>
  <si>
    <t>Viola montana L.</t>
  </si>
  <si>
    <t>Viola selkirkii Pursh ex Goldie</t>
  </si>
  <si>
    <t>Stellaria graminea L.</t>
  </si>
  <si>
    <t>Tussilago farfara L.</t>
  </si>
  <si>
    <t>S</t>
  </si>
  <si>
    <t>p</t>
  </si>
  <si>
    <t>N</t>
  </si>
  <si>
    <t>k</t>
  </si>
  <si>
    <t>d</t>
  </si>
  <si>
    <t>H</t>
  </si>
  <si>
    <t>e</t>
  </si>
  <si>
    <t>C</t>
  </si>
  <si>
    <t>m</t>
  </si>
  <si>
    <t>h</t>
  </si>
  <si>
    <t>p*ln(p)</t>
  </si>
  <si>
    <t>p^2</t>
  </si>
  <si>
    <t>sqr(p)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</si>
</sst>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9"/>
      <name val="Times New Roman Cyr"/>
      <charset val="204"/>
    </font>
    <font>
      <sz val="10"/>
      <name val="Times New Roman Cyr"/>
      <family val="1"/>
      <charset val="204"/>
    </font>
    <font>
      <b/>
      <sz val="11"/>
      <name val="Times New Roman Cyr"/>
      <charset val="204"/>
    </font>
    <font>
      <sz val="11"/>
      <name val="Times New Roman"/>
      <family val="1"/>
      <charset val="204"/>
    </font>
    <font>
      <sz val="11"/>
      <name val="Times New Roman"/>
      <family val="1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5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6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tabSelected="1" topLeftCell="A145" workbookViewId="0">
      <selection activeCell="C151" sqref="C151"/>
    </sheetView>
  </sheetViews>
  <sheetFormatPr defaultRowHeight="15" x14ac:dyDescent="0.25"/>
  <cols>
    <col min="1" max="1" width="38.140625" style="12" customWidth="1"/>
  </cols>
  <sheetData>
    <row r="1" spans="1:21" x14ac:dyDescent="0.25">
      <c r="A1" s="7" t="s">
        <v>0</v>
      </c>
      <c r="B1" s="1">
        <v>107</v>
      </c>
      <c r="C1" s="1"/>
      <c r="D1" s="1" t="s">
        <v>152</v>
      </c>
      <c r="E1" s="1" t="s">
        <v>161</v>
      </c>
      <c r="F1" s="1" t="s">
        <v>162</v>
      </c>
      <c r="G1" s="1" t="s">
        <v>163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8" t="s">
        <v>13</v>
      </c>
      <c r="B2" s="2">
        <v>0</v>
      </c>
      <c r="C2" s="2"/>
      <c r="D2" s="2">
        <f>B2/$B$141</f>
        <v>0</v>
      </c>
      <c r="E2" s="3">
        <f>IF(D2=0,0,-D2*LN(D2))</f>
        <v>0</v>
      </c>
      <c r="F2" s="2">
        <f>D2*D2</f>
        <v>0</v>
      </c>
      <c r="G2" s="2">
        <f>SQRT(D2)</f>
        <v>0</v>
      </c>
      <c r="H2" s="2"/>
      <c r="I2" s="2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9" t="s">
        <v>14</v>
      </c>
      <c r="B3" s="2">
        <v>0</v>
      </c>
      <c r="C3" s="2"/>
      <c r="D3" s="2">
        <f t="shared" ref="D3:D66" si="0">B3/$B$141</f>
        <v>0</v>
      </c>
      <c r="E3" s="3">
        <f t="shared" ref="E3:E66" si="1">IF(D3=0,0,-D3*LN(D3))</f>
        <v>0</v>
      </c>
      <c r="F3" s="2">
        <f t="shared" ref="F3:F66" si="2">D3*D3</f>
        <v>0</v>
      </c>
      <c r="G3" s="2">
        <f t="shared" ref="G3:G66" si="3">SQRT(D3)</f>
        <v>0</v>
      </c>
      <c r="H3" s="5"/>
      <c r="I3" s="2"/>
      <c r="J3" s="4"/>
      <c r="K3" s="4"/>
      <c r="L3" s="2"/>
      <c r="M3" s="5"/>
      <c r="N3" s="5"/>
      <c r="O3" s="2"/>
      <c r="P3" s="2"/>
      <c r="Q3" s="5"/>
      <c r="R3" s="2"/>
      <c r="S3" s="2"/>
      <c r="T3" s="5"/>
      <c r="U3" s="2"/>
    </row>
    <row r="4" spans="1:21" x14ac:dyDescent="0.25">
      <c r="A4" s="10" t="s">
        <v>15</v>
      </c>
      <c r="B4" s="2">
        <v>0</v>
      </c>
      <c r="C4" s="2"/>
      <c r="D4" s="2">
        <f t="shared" si="0"/>
        <v>0</v>
      </c>
      <c r="E4" s="3">
        <f t="shared" si="1"/>
        <v>0</v>
      </c>
      <c r="F4" s="2">
        <f t="shared" si="2"/>
        <v>0</v>
      </c>
      <c r="G4" s="2">
        <f t="shared" si="3"/>
        <v>0</v>
      </c>
      <c r="H4" s="2"/>
      <c r="I4" s="2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10" t="s">
        <v>16</v>
      </c>
      <c r="B5" s="2">
        <v>0</v>
      </c>
      <c r="C5" s="2"/>
      <c r="D5" s="2">
        <f t="shared" si="0"/>
        <v>0</v>
      </c>
      <c r="E5" s="3">
        <f t="shared" si="1"/>
        <v>0</v>
      </c>
      <c r="F5" s="2">
        <f t="shared" si="2"/>
        <v>0</v>
      </c>
      <c r="G5" s="2">
        <f t="shared" si="3"/>
        <v>0</v>
      </c>
      <c r="H5" s="2"/>
      <c r="I5" s="2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9" t="s">
        <v>17</v>
      </c>
      <c r="B6" s="2">
        <v>0</v>
      </c>
      <c r="C6" s="2"/>
      <c r="D6" s="2">
        <f t="shared" si="0"/>
        <v>0</v>
      </c>
      <c r="E6" s="3">
        <f t="shared" si="1"/>
        <v>0</v>
      </c>
      <c r="F6" s="2">
        <f t="shared" si="2"/>
        <v>0</v>
      </c>
      <c r="G6" s="2">
        <f t="shared" si="3"/>
        <v>0</v>
      </c>
      <c r="H6" s="2"/>
      <c r="I6" s="2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9" t="s">
        <v>18</v>
      </c>
      <c r="B7" s="2">
        <v>0.01</v>
      </c>
      <c r="C7" s="2"/>
      <c r="D7" s="2">
        <f t="shared" si="0"/>
        <v>3.0493382935902917E-4</v>
      </c>
      <c r="E7" s="3">
        <f t="shared" si="1"/>
        <v>2.4685661272841894E-3</v>
      </c>
      <c r="F7" s="2">
        <f t="shared" si="2"/>
        <v>9.2984640287561518E-8</v>
      </c>
      <c r="G7" s="2">
        <f t="shared" si="3"/>
        <v>1.7462354633869661E-2</v>
      </c>
      <c r="H7" s="5"/>
      <c r="I7" s="5"/>
      <c r="J7" s="4"/>
      <c r="K7" s="4"/>
      <c r="L7" s="2"/>
      <c r="M7" s="2"/>
      <c r="N7" s="5"/>
      <c r="O7" s="2"/>
      <c r="P7" s="5"/>
      <c r="Q7" s="2"/>
      <c r="R7" s="5"/>
      <c r="S7" s="2"/>
      <c r="T7" s="5"/>
      <c r="U7" s="2"/>
    </row>
    <row r="8" spans="1:21" x14ac:dyDescent="0.25">
      <c r="A8" s="10" t="s">
        <v>19</v>
      </c>
      <c r="B8" s="2">
        <v>0</v>
      </c>
      <c r="C8" s="2"/>
      <c r="D8" s="2">
        <f t="shared" si="0"/>
        <v>0</v>
      </c>
      <c r="E8" s="3">
        <f t="shared" si="1"/>
        <v>0</v>
      </c>
      <c r="F8" s="2">
        <f t="shared" si="2"/>
        <v>0</v>
      </c>
      <c r="G8" s="2">
        <f t="shared" si="3"/>
        <v>0</v>
      </c>
      <c r="H8" s="2"/>
      <c r="I8" s="2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9" t="s">
        <v>20</v>
      </c>
      <c r="B9" s="2">
        <v>0</v>
      </c>
      <c r="C9" s="2"/>
      <c r="D9" s="2">
        <f t="shared" si="0"/>
        <v>0</v>
      </c>
      <c r="E9" s="3">
        <f t="shared" si="1"/>
        <v>0</v>
      </c>
      <c r="F9" s="2">
        <f t="shared" si="2"/>
        <v>0</v>
      </c>
      <c r="G9" s="2">
        <f t="shared" si="3"/>
        <v>0</v>
      </c>
      <c r="H9" s="5"/>
      <c r="I9" s="2"/>
      <c r="J9" s="4"/>
      <c r="K9" s="4"/>
      <c r="L9" s="2"/>
      <c r="M9" s="2"/>
      <c r="N9" s="5"/>
      <c r="O9" s="5"/>
      <c r="P9" s="2"/>
      <c r="Q9" s="2"/>
      <c r="R9" s="2"/>
      <c r="S9" s="2"/>
      <c r="T9" s="2"/>
      <c r="U9" s="2"/>
    </row>
    <row r="10" spans="1:21" x14ac:dyDescent="0.25">
      <c r="A10" s="9" t="s">
        <v>21</v>
      </c>
      <c r="B10" s="5">
        <v>2.3760000000000003</v>
      </c>
      <c r="C10" s="2"/>
      <c r="D10" s="2">
        <f t="shared" si="0"/>
        <v>7.2452277855705349E-2</v>
      </c>
      <c r="E10" s="3">
        <f t="shared" si="1"/>
        <v>0.19017470746775678</v>
      </c>
      <c r="F10" s="2">
        <f t="shared" si="2"/>
        <v>5.249332566480332E-3</v>
      </c>
      <c r="G10" s="2">
        <f t="shared" si="3"/>
        <v>0.26916960797182388</v>
      </c>
      <c r="H10" s="5"/>
      <c r="I10" s="5"/>
      <c r="J10" s="4"/>
      <c r="K10" s="4"/>
      <c r="L10" s="2"/>
      <c r="M10" s="5"/>
      <c r="N10" s="5"/>
      <c r="O10" s="5"/>
      <c r="P10" s="5"/>
      <c r="Q10" s="5"/>
      <c r="R10" s="5"/>
      <c r="S10" s="2"/>
      <c r="T10" s="2"/>
      <c r="U10" s="5"/>
    </row>
    <row r="11" spans="1:21" x14ac:dyDescent="0.25">
      <c r="A11" s="9" t="s">
        <v>22</v>
      </c>
      <c r="B11" s="2">
        <v>0</v>
      </c>
      <c r="C11" s="2"/>
      <c r="D11" s="2">
        <f t="shared" si="0"/>
        <v>0</v>
      </c>
      <c r="E11" s="3">
        <f t="shared" si="1"/>
        <v>0</v>
      </c>
      <c r="F11" s="2">
        <f t="shared" si="2"/>
        <v>0</v>
      </c>
      <c r="G11" s="2">
        <f t="shared" si="3"/>
        <v>0</v>
      </c>
      <c r="H11" s="5"/>
      <c r="I11" s="2"/>
      <c r="J11" s="4"/>
      <c r="K11" s="4"/>
      <c r="L11" s="2"/>
      <c r="M11" s="2"/>
      <c r="N11" s="5"/>
      <c r="O11" s="2"/>
      <c r="P11" s="2"/>
      <c r="Q11" s="2"/>
      <c r="R11" s="2"/>
      <c r="S11" s="2"/>
      <c r="T11" s="2"/>
      <c r="U11" s="2"/>
    </row>
    <row r="12" spans="1:21" x14ac:dyDescent="0.25">
      <c r="A12" s="9" t="s">
        <v>23</v>
      </c>
      <c r="B12" s="2">
        <v>0</v>
      </c>
      <c r="C12" s="2"/>
      <c r="D12" s="2">
        <f t="shared" si="0"/>
        <v>0</v>
      </c>
      <c r="E12" s="3">
        <f t="shared" si="1"/>
        <v>0</v>
      </c>
      <c r="F12" s="2">
        <f t="shared" si="2"/>
        <v>0</v>
      </c>
      <c r="G12" s="2">
        <f t="shared" si="3"/>
        <v>0</v>
      </c>
      <c r="H12" s="2"/>
      <c r="I12" s="2"/>
      <c r="J12" s="4"/>
      <c r="K12" s="4"/>
      <c r="L12" s="2"/>
      <c r="M12" s="2"/>
      <c r="N12" s="2"/>
      <c r="O12" s="5"/>
      <c r="P12" s="2"/>
      <c r="Q12" s="2"/>
      <c r="R12" s="2"/>
      <c r="S12" s="2"/>
      <c r="T12" s="2"/>
      <c r="U12" s="2"/>
    </row>
    <row r="13" spans="1:21" x14ac:dyDescent="0.25">
      <c r="A13" s="9" t="s">
        <v>24</v>
      </c>
      <c r="B13" s="2">
        <v>0</v>
      </c>
      <c r="C13" s="2"/>
      <c r="D13" s="2">
        <f t="shared" si="0"/>
        <v>0</v>
      </c>
      <c r="E13" s="3">
        <f t="shared" si="1"/>
        <v>0</v>
      </c>
      <c r="F13" s="2">
        <f t="shared" si="2"/>
        <v>0</v>
      </c>
      <c r="G13" s="2">
        <f t="shared" si="3"/>
        <v>0</v>
      </c>
      <c r="H13" s="2"/>
      <c r="I13" s="2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9" t="s">
        <v>25</v>
      </c>
      <c r="B14" s="2">
        <v>0.01</v>
      </c>
      <c r="C14" s="2"/>
      <c r="D14" s="2">
        <f t="shared" si="0"/>
        <v>3.0493382935902917E-4</v>
      </c>
      <c r="E14" s="3">
        <f t="shared" si="1"/>
        <v>2.4685661272841894E-3</v>
      </c>
      <c r="F14" s="2">
        <f t="shared" si="2"/>
        <v>9.2984640287561518E-8</v>
      </c>
      <c r="G14" s="2">
        <f t="shared" si="3"/>
        <v>1.7462354633869661E-2</v>
      </c>
      <c r="H14" s="5"/>
      <c r="I14" s="2"/>
      <c r="J14" s="4"/>
      <c r="K14" s="4"/>
      <c r="L14" s="2"/>
      <c r="M14" s="5"/>
      <c r="N14" s="5"/>
      <c r="O14" s="2"/>
      <c r="P14" s="2"/>
      <c r="Q14" s="2"/>
      <c r="R14" s="5"/>
      <c r="S14" s="2"/>
      <c r="T14" s="5"/>
      <c r="U14" s="5"/>
    </row>
    <row r="15" spans="1:21" x14ac:dyDescent="0.25">
      <c r="A15" s="9" t="s">
        <v>26</v>
      </c>
      <c r="B15" s="2">
        <v>0</v>
      </c>
      <c r="C15" s="2"/>
      <c r="D15" s="2">
        <f t="shared" si="0"/>
        <v>0</v>
      </c>
      <c r="E15" s="3">
        <f t="shared" si="1"/>
        <v>0</v>
      </c>
      <c r="F15" s="2">
        <f t="shared" si="2"/>
        <v>0</v>
      </c>
      <c r="G15" s="2">
        <f t="shared" si="3"/>
        <v>0</v>
      </c>
      <c r="H15" s="2"/>
      <c r="I15" s="2"/>
      <c r="J15" s="4"/>
      <c r="K15" s="4"/>
      <c r="L15" s="2"/>
      <c r="M15" s="5"/>
      <c r="N15" s="2"/>
      <c r="O15" s="2"/>
      <c r="P15" s="2"/>
      <c r="Q15" s="2"/>
      <c r="R15" s="2"/>
      <c r="S15" s="2"/>
      <c r="T15" s="5"/>
      <c r="U15" s="2"/>
    </row>
    <row r="16" spans="1:21" x14ac:dyDescent="0.25">
      <c r="A16" s="9" t="s">
        <v>27</v>
      </c>
      <c r="B16" s="2">
        <v>0.01</v>
      </c>
      <c r="C16" s="2"/>
      <c r="D16" s="2">
        <f t="shared" si="0"/>
        <v>3.0493382935902917E-4</v>
      </c>
      <c r="E16" s="3">
        <f t="shared" si="1"/>
        <v>2.4685661272841894E-3</v>
      </c>
      <c r="F16" s="2">
        <f t="shared" si="2"/>
        <v>9.2984640287561518E-8</v>
      </c>
      <c r="G16" s="2">
        <f t="shared" si="3"/>
        <v>1.7462354633869661E-2</v>
      </c>
      <c r="H16" s="2"/>
      <c r="I16" s="5"/>
      <c r="J16" s="4"/>
      <c r="K16" s="4"/>
      <c r="L16" s="2"/>
      <c r="M16" s="5"/>
      <c r="N16" s="5"/>
      <c r="O16" s="2"/>
      <c r="P16" s="2"/>
      <c r="Q16" s="2"/>
      <c r="R16" s="5"/>
      <c r="S16" s="2"/>
      <c r="T16" s="5"/>
      <c r="U16" s="2"/>
    </row>
    <row r="17" spans="1:21" x14ac:dyDescent="0.25">
      <c r="A17" s="9" t="s">
        <v>28</v>
      </c>
      <c r="B17" s="2">
        <v>0</v>
      </c>
      <c r="C17" s="2"/>
      <c r="D17" s="2">
        <f t="shared" si="0"/>
        <v>0</v>
      </c>
      <c r="E17" s="3">
        <f t="shared" si="1"/>
        <v>0</v>
      </c>
      <c r="F17" s="2">
        <f t="shared" si="2"/>
        <v>0</v>
      </c>
      <c r="G17" s="2">
        <f t="shared" si="3"/>
        <v>0</v>
      </c>
      <c r="H17" s="2"/>
      <c r="I17" s="2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9" t="s">
        <v>29</v>
      </c>
      <c r="B18" s="2">
        <v>0.01</v>
      </c>
      <c r="C18" s="2"/>
      <c r="D18" s="2">
        <f t="shared" si="0"/>
        <v>3.0493382935902917E-4</v>
      </c>
      <c r="E18" s="3">
        <f t="shared" si="1"/>
        <v>2.4685661272841894E-3</v>
      </c>
      <c r="F18" s="2">
        <f t="shared" si="2"/>
        <v>9.2984640287561518E-8</v>
      </c>
      <c r="G18" s="2">
        <f t="shared" si="3"/>
        <v>1.7462354633869661E-2</v>
      </c>
      <c r="H18" s="5"/>
      <c r="I18" s="2"/>
      <c r="J18" s="4"/>
      <c r="K18" s="4"/>
      <c r="L18" s="2"/>
      <c r="M18" s="2"/>
      <c r="N18" s="5"/>
      <c r="O18" s="5"/>
      <c r="P18" s="5"/>
      <c r="Q18" s="2"/>
      <c r="R18" s="2"/>
      <c r="S18" s="2"/>
      <c r="T18" s="2"/>
      <c r="U18" s="2"/>
    </row>
    <row r="19" spans="1:21" x14ac:dyDescent="0.25">
      <c r="A19" s="9" t="s">
        <v>30</v>
      </c>
      <c r="B19" s="2">
        <v>0</v>
      </c>
      <c r="C19" s="2"/>
      <c r="D19" s="2">
        <f t="shared" si="0"/>
        <v>0</v>
      </c>
      <c r="E19" s="3">
        <f t="shared" si="1"/>
        <v>0</v>
      </c>
      <c r="F19" s="2">
        <f t="shared" si="2"/>
        <v>0</v>
      </c>
      <c r="G19" s="2">
        <f t="shared" si="3"/>
        <v>0</v>
      </c>
      <c r="H19" s="5"/>
      <c r="I19" s="5"/>
      <c r="J19" s="4"/>
      <c r="K19" s="4"/>
      <c r="L19" s="2"/>
      <c r="M19" s="2"/>
      <c r="N19" s="5"/>
      <c r="O19" s="5"/>
      <c r="P19" s="5"/>
      <c r="Q19" s="5"/>
      <c r="R19" s="2"/>
      <c r="S19" s="2"/>
      <c r="T19" s="5"/>
      <c r="U19" s="5"/>
    </row>
    <row r="20" spans="1:21" x14ac:dyDescent="0.25">
      <c r="A20" s="9" t="s">
        <v>31</v>
      </c>
      <c r="B20" s="2">
        <v>0</v>
      </c>
      <c r="C20" s="2"/>
      <c r="D20" s="2">
        <f t="shared" si="0"/>
        <v>0</v>
      </c>
      <c r="E20" s="3">
        <f t="shared" si="1"/>
        <v>0</v>
      </c>
      <c r="F20" s="2">
        <f t="shared" si="2"/>
        <v>0</v>
      </c>
      <c r="G20" s="2">
        <f t="shared" si="3"/>
        <v>0</v>
      </c>
      <c r="H20" s="2"/>
      <c r="I20" s="2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9" t="s">
        <v>32</v>
      </c>
      <c r="B21" s="2">
        <v>0</v>
      </c>
      <c r="C21" s="2"/>
      <c r="D21" s="2">
        <f t="shared" si="0"/>
        <v>0</v>
      </c>
      <c r="E21" s="3">
        <f t="shared" si="1"/>
        <v>0</v>
      </c>
      <c r="F21" s="2">
        <f t="shared" si="2"/>
        <v>0</v>
      </c>
      <c r="G21" s="2">
        <f t="shared" si="3"/>
        <v>0</v>
      </c>
      <c r="H21" s="2"/>
      <c r="I21" s="2"/>
      <c r="J21" s="4"/>
      <c r="K21" s="4"/>
      <c r="L21" s="2"/>
      <c r="M21" s="5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9" t="s">
        <v>33</v>
      </c>
      <c r="B22" s="5">
        <v>5.9760000000000009</v>
      </c>
      <c r="C22" s="2"/>
      <c r="D22" s="2">
        <f t="shared" si="0"/>
        <v>0.18222845642495586</v>
      </c>
      <c r="E22" s="3">
        <f t="shared" si="1"/>
        <v>0.3102428762885599</v>
      </c>
      <c r="F22" s="2">
        <f t="shared" si="2"/>
        <v>3.3207210331022037E-2</v>
      </c>
      <c r="G22" s="2">
        <f t="shared" si="3"/>
        <v>0.42688225124143525</v>
      </c>
      <c r="H22" s="5"/>
      <c r="I22" s="5"/>
      <c r="J22" s="4"/>
      <c r="K22" s="4"/>
      <c r="L22" s="2"/>
      <c r="M22" s="5"/>
      <c r="N22" s="5"/>
      <c r="O22" s="5"/>
      <c r="P22" s="2"/>
      <c r="Q22" s="5"/>
      <c r="R22" s="5"/>
      <c r="S22" s="2"/>
      <c r="T22" s="5"/>
      <c r="U22" s="5"/>
    </row>
    <row r="23" spans="1:21" x14ac:dyDescent="0.25">
      <c r="A23" s="9" t="s">
        <v>34</v>
      </c>
      <c r="B23" s="5">
        <v>0.32799999999999996</v>
      </c>
      <c r="C23" s="2"/>
      <c r="D23" s="2">
        <f t="shared" si="0"/>
        <v>1.0001829602976155E-2</v>
      </c>
      <c r="E23" s="3">
        <f t="shared" si="1"/>
        <v>4.60582977226206E-2</v>
      </c>
      <c r="F23" s="2">
        <f t="shared" si="2"/>
        <v>1.0003659540697016E-4</v>
      </c>
      <c r="G23" s="2">
        <f t="shared" si="3"/>
        <v>0.10000914759648817</v>
      </c>
      <c r="H23" s="2"/>
      <c r="I23" s="2"/>
      <c r="J23" s="4"/>
      <c r="K23" s="4"/>
      <c r="L23" s="2"/>
      <c r="M23" s="2"/>
      <c r="N23" s="2"/>
      <c r="O23" s="2"/>
      <c r="P23" s="2"/>
      <c r="Q23" s="2"/>
      <c r="R23" s="5"/>
      <c r="S23" s="2"/>
      <c r="T23" s="2"/>
      <c r="U23" s="2"/>
    </row>
    <row r="24" spans="1:21" x14ac:dyDescent="0.25">
      <c r="A24" s="10" t="s">
        <v>35</v>
      </c>
      <c r="B24" s="2">
        <v>0</v>
      </c>
      <c r="C24" s="2"/>
      <c r="D24" s="2">
        <f t="shared" si="0"/>
        <v>0</v>
      </c>
      <c r="E24" s="3">
        <f t="shared" si="1"/>
        <v>0</v>
      </c>
      <c r="F24" s="2">
        <f t="shared" si="2"/>
        <v>0</v>
      </c>
      <c r="G24" s="2">
        <f t="shared" si="3"/>
        <v>0</v>
      </c>
      <c r="H24" s="2"/>
      <c r="I24" s="2"/>
      <c r="J24" s="4"/>
      <c r="K24" s="4"/>
      <c r="L24" s="2"/>
      <c r="M24" s="2"/>
      <c r="N24" s="2"/>
      <c r="O24" s="2"/>
      <c r="P24" s="2"/>
      <c r="Q24" s="2"/>
      <c r="R24" s="2"/>
      <c r="S24" s="2"/>
      <c r="T24" s="5"/>
      <c r="U24" s="2"/>
    </row>
    <row r="25" spans="1:21" x14ac:dyDescent="0.25">
      <c r="A25" s="10" t="s">
        <v>36</v>
      </c>
      <c r="B25" s="2">
        <v>0</v>
      </c>
      <c r="C25" s="2"/>
      <c r="D25" s="2">
        <f t="shared" si="0"/>
        <v>0</v>
      </c>
      <c r="E25" s="3">
        <f t="shared" si="1"/>
        <v>0</v>
      </c>
      <c r="F25" s="2">
        <f t="shared" si="2"/>
        <v>0</v>
      </c>
      <c r="G25" s="2">
        <f t="shared" si="3"/>
        <v>0</v>
      </c>
      <c r="H25" s="5"/>
      <c r="I25" s="2"/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10" t="s">
        <v>37</v>
      </c>
      <c r="B26" s="2">
        <v>0</v>
      </c>
      <c r="C26" s="2"/>
      <c r="D26" s="2">
        <f t="shared" si="0"/>
        <v>0</v>
      </c>
      <c r="E26" s="3">
        <f t="shared" si="1"/>
        <v>0</v>
      </c>
      <c r="F26" s="2">
        <f t="shared" si="2"/>
        <v>0</v>
      </c>
      <c r="G26" s="2">
        <f t="shared" si="3"/>
        <v>0</v>
      </c>
      <c r="H26" s="2"/>
      <c r="I26" s="2"/>
      <c r="J26" s="4"/>
      <c r="K26" s="4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9" t="s">
        <v>38</v>
      </c>
      <c r="B27" s="2">
        <v>0</v>
      </c>
      <c r="C27" s="2"/>
      <c r="D27" s="2">
        <f t="shared" si="0"/>
        <v>0</v>
      </c>
      <c r="E27" s="3">
        <f t="shared" si="1"/>
        <v>0</v>
      </c>
      <c r="F27" s="2">
        <f t="shared" si="2"/>
        <v>0</v>
      </c>
      <c r="G27" s="2">
        <f t="shared" si="3"/>
        <v>0</v>
      </c>
      <c r="H27" s="5"/>
      <c r="I27" s="2"/>
      <c r="J27" s="4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9" t="s">
        <v>39</v>
      </c>
      <c r="B28" s="2">
        <v>0</v>
      </c>
      <c r="C28" s="2"/>
      <c r="D28" s="2">
        <f t="shared" si="0"/>
        <v>0</v>
      </c>
      <c r="E28" s="3">
        <f t="shared" si="1"/>
        <v>0</v>
      </c>
      <c r="F28" s="2">
        <f t="shared" si="2"/>
        <v>0</v>
      </c>
      <c r="G28" s="2">
        <f t="shared" si="3"/>
        <v>0</v>
      </c>
      <c r="H28" s="5"/>
      <c r="I28" s="2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9" t="s">
        <v>40</v>
      </c>
      <c r="B29" s="2">
        <v>0</v>
      </c>
      <c r="C29" s="5"/>
      <c r="D29" s="2">
        <f t="shared" si="0"/>
        <v>0</v>
      </c>
      <c r="E29" s="3">
        <f t="shared" si="1"/>
        <v>0</v>
      </c>
      <c r="F29" s="2">
        <f t="shared" si="2"/>
        <v>0</v>
      </c>
      <c r="G29" s="2">
        <f t="shared" si="3"/>
        <v>0</v>
      </c>
      <c r="H29" s="5"/>
      <c r="I29" s="5"/>
      <c r="J29" s="4"/>
      <c r="K29" s="4"/>
      <c r="L29" s="2"/>
      <c r="M29" s="5"/>
      <c r="N29" s="5"/>
      <c r="O29" s="5"/>
      <c r="P29" s="5"/>
      <c r="Q29" s="5"/>
      <c r="R29" s="2"/>
      <c r="S29" s="2"/>
      <c r="T29" s="5"/>
      <c r="U29" s="2"/>
    </row>
    <row r="30" spans="1:21" x14ac:dyDescent="0.25">
      <c r="A30" s="10" t="s">
        <v>41</v>
      </c>
      <c r="B30" s="2">
        <v>0</v>
      </c>
      <c r="C30" s="2"/>
      <c r="D30" s="2">
        <f t="shared" si="0"/>
        <v>0</v>
      </c>
      <c r="E30" s="3">
        <f t="shared" si="1"/>
        <v>0</v>
      </c>
      <c r="F30" s="2">
        <f t="shared" si="2"/>
        <v>0</v>
      </c>
      <c r="G30" s="2">
        <f t="shared" si="3"/>
        <v>0</v>
      </c>
      <c r="H30" s="5"/>
      <c r="I30" s="5"/>
      <c r="J30" s="4"/>
      <c r="K30" s="4"/>
      <c r="L30" s="2"/>
      <c r="M30" s="2"/>
      <c r="N30" s="5"/>
      <c r="O30" s="5"/>
      <c r="P30" s="2"/>
      <c r="Q30" s="2"/>
      <c r="R30" s="2"/>
      <c r="S30" s="2"/>
      <c r="T30" s="2"/>
      <c r="U30" s="2"/>
    </row>
    <row r="31" spans="1:21" x14ac:dyDescent="0.25">
      <c r="A31" s="9" t="s">
        <v>42</v>
      </c>
      <c r="B31" s="2">
        <v>0</v>
      </c>
      <c r="C31" s="2"/>
      <c r="D31" s="2">
        <f t="shared" si="0"/>
        <v>0</v>
      </c>
      <c r="E31" s="3">
        <f t="shared" si="1"/>
        <v>0</v>
      </c>
      <c r="F31" s="2">
        <f t="shared" si="2"/>
        <v>0</v>
      </c>
      <c r="G31" s="2">
        <f t="shared" si="3"/>
        <v>0</v>
      </c>
      <c r="H31" s="5"/>
      <c r="I31" s="5"/>
      <c r="J31" s="4"/>
      <c r="K31" s="4"/>
      <c r="L31" s="2"/>
      <c r="M31" s="5"/>
      <c r="N31" s="5"/>
      <c r="O31" s="5"/>
      <c r="P31" s="2"/>
      <c r="Q31" s="5"/>
      <c r="R31" s="2"/>
      <c r="S31" s="2"/>
      <c r="T31" s="2"/>
      <c r="U31" s="5"/>
    </row>
    <row r="32" spans="1:21" x14ac:dyDescent="0.25">
      <c r="A32" s="9" t="s">
        <v>43</v>
      </c>
      <c r="B32" s="2">
        <v>0</v>
      </c>
      <c r="C32" s="2"/>
      <c r="D32" s="2">
        <f t="shared" si="0"/>
        <v>0</v>
      </c>
      <c r="E32" s="3">
        <f t="shared" si="1"/>
        <v>0</v>
      </c>
      <c r="F32" s="2">
        <f t="shared" si="2"/>
        <v>0</v>
      </c>
      <c r="G32" s="2">
        <f t="shared" si="3"/>
        <v>0</v>
      </c>
      <c r="H32" s="2"/>
      <c r="I32" s="2"/>
      <c r="J32" s="4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9" t="s">
        <v>44</v>
      </c>
      <c r="B33" s="2">
        <v>0</v>
      </c>
      <c r="C33" s="2"/>
      <c r="D33" s="2">
        <f t="shared" si="0"/>
        <v>0</v>
      </c>
      <c r="E33" s="3">
        <f t="shared" si="1"/>
        <v>0</v>
      </c>
      <c r="F33" s="2">
        <f t="shared" si="2"/>
        <v>0</v>
      </c>
      <c r="G33" s="2">
        <f t="shared" si="3"/>
        <v>0</v>
      </c>
      <c r="H33" s="2"/>
      <c r="I33" s="2"/>
      <c r="J33" s="4"/>
      <c r="K33" s="4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9" t="s">
        <v>45</v>
      </c>
      <c r="B34" s="5">
        <v>0.40800000000000003</v>
      </c>
      <c r="C34" s="2"/>
      <c r="D34" s="2">
        <f t="shared" si="0"/>
        <v>1.2441300237848391E-2</v>
      </c>
      <c r="E34" s="3">
        <f t="shared" si="1"/>
        <v>5.4576670731643184E-2</v>
      </c>
      <c r="F34" s="2">
        <f t="shared" si="2"/>
        <v>1.5478595160828642E-4</v>
      </c>
      <c r="G34" s="2">
        <f t="shared" si="3"/>
        <v>0.11154057664297953</v>
      </c>
      <c r="H34" s="2"/>
      <c r="I34" s="2"/>
      <c r="J34" s="4"/>
      <c r="K34" s="4"/>
      <c r="L34" s="2"/>
      <c r="M34" s="5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9" t="s">
        <v>46</v>
      </c>
      <c r="B35" s="5">
        <v>0.70399999999999996</v>
      </c>
      <c r="C35" s="2"/>
      <c r="D35" s="2">
        <f t="shared" si="0"/>
        <v>2.1467341586875653E-2</v>
      </c>
      <c r="E35" s="3">
        <f t="shared" si="1"/>
        <v>8.2460835403880203E-2</v>
      </c>
      <c r="F35" s="2">
        <f t="shared" si="2"/>
        <v>4.6084675480760086E-4</v>
      </c>
      <c r="G35" s="2">
        <f t="shared" si="3"/>
        <v>0.14651737639910037</v>
      </c>
      <c r="H35" s="5"/>
      <c r="I35" s="5"/>
      <c r="J35" s="4"/>
      <c r="K35" s="4"/>
      <c r="L35" s="2"/>
      <c r="M35" s="5"/>
      <c r="N35" s="5"/>
      <c r="O35" s="5"/>
      <c r="P35" s="2"/>
      <c r="Q35" s="2"/>
      <c r="R35" s="2"/>
      <c r="S35" s="2"/>
      <c r="T35" s="5"/>
      <c r="U35" s="5"/>
    </row>
    <row r="36" spans="1:21" x14ac:dyDescent="0.25">
      <c r="A36" s="9" t="s">
        <v>47</v>
      </c>
      <c r="B36" s="2">
        <v>0</v>
      </c>
      <c r="C36" s="2"/>
      <c r="D36" s="2">
        <f t="shared" si="0"/>
        <v>0</v>
      </c>
      <c r="E36" s="3">
        <f t="shared" si="1"/>
        <v>0</v>
      </c>
      <c r="F36" s="2">
        <f t="shared" si="2"/>
        <v>0</v>
      </c>
      <c r="G36" s="2">
        <f t="shared" si="3"/>
        <v>0</v>
      </c>
      <c r="H36" s="2"/>
      <c r="I36" s="2"/>
      <c r="J36" s="4"/>
      <c r="K36" s="4"/>
      <c r="L36" s="2"/>
      <c r="M36" s="2"/>
      <c r="N36" s="2"/>
      <c r="O36" s="2"/>
      <c r="P36" s="2"/>
      <c r="Q36" s="2"/>
      <c r="R36" s="2"/>
      <c r="S36" s="2"/>
      <c r="T36" s="5"/>
      <c r="U36" s="5"/>
    </row>
    <row r="37" spans="1:21" x14ac:dyDescent="0.25">
      <c r="A37" s="9" t="s">
        <v>48</v>
      </c>
      <c r="B37" s="2">
        <v>0</v>
      </c>
      <c r="C37" s="2"/>
      <c r="D37" s="2">
        <f t="shared" si="0"/>
        <v>0</v>
      </c>
      <c r="E37" s="3">
        <f t="shared" si="1"/>
        <v>0</v>
      </c>
      <c r="F37" s="2">
        <f t="shared" si="2"/>
        <v>0</v>
      </c>
      <c r="G37" s="2">
        <f t="shared" si="3"/>
        <v>0</v>
      </c>
      <c r="H37" s="2"/>
      <c r="I37" s="2"/>
      <c r="J37" s="4"/>
      <c r="K37" s="4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9" t="s">
        <v>49</v>
      </c>
      <c r="B38" s="2">
        <v>0</v>
      </c>
      <c r="C38" s="2"/>
      <c r="D38" s="2">
        <f t="shared" si="0"/>
        <v>0</v>
      </c>
      <c r="E38" s="3">
        <f t="shared" si="1"/>
        <v>0</v>
      </c>
      <c r="F38" s="2">
        <f t="shared" si="2"/>
        <v>0</v>
      </c>
      <c r="G38" s="2">
        <f t="shared" si="3"/>
        <v>0</v>
      </c>
      <c r="H38" s="2"/>
      <c r="I38" s="2"/>
      <c r="J38" s="4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9" t="s">
        <v>50</v>
      </c>
      <c r="B39" s="2">
        <v>0</v>
      </c>
      <c r="C39" s="2"/>
      <c r="D39" s="2">
        <f t="shared" si="0"/>
        <v>0</v>
      </c>
      <c r="E39" s="3">
        <f t="shared" si="1"/>
        <v>0</v>
      </c>
      <c r="F39" s="2">
        <f t="shared" si="2"/>
        <v>0</v>
      </c>
      <c r="G39" s="2">
        <f t="shared" si="3"/>
        <v>0</v>
      </c>
      <c r="H39" s="5"/>
      <c r="I39" s="2"/>
      <c r="J39" s="4"/>
      <c r="K39" s="4"/>
      <c r="L39" s="2"/>
      <c r="M39" s="2"/>
      <c r="N39" s="5"/>
      <c r="O39" s="5"/>
      <c r="P39" s="2"/>
      <c r="Q39" s="2"/>
      <c r="R39" s="5"/>
      <c r="S39" s="2"/>
      <c r="T39" s="5"/>
      <c r="U39" s="5"/>
    </row>
    <row r="40" spans="1:21" x14ac:dyDescent="0.25">
      <c r="A40" s="9" t="s">
        <v>51</v>
      </c>
      <c r="B40" s="2">
        <v>0</v>
      </c>
      <c r="C40" s="2"/>
      <c r="D40" s="2">
        <f t="shared" si="0"/>
        <v>0</v>
      </c>
      <c r="E40" s="3">
        <f t="shared" si="1"/>
        <v>0</v>
      </c>
      <c r="F40" s="2">
        <f t="shared" si="2"/>
        <v>0</v>
      </c>
      <c r="G40" s="2">
        <f t="shared" si="3"/>
        <v>0</v>
      </c>
      <c r="H40" s="2"/>
      <c r="I40" s="2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9" t="s">
        <v>52</v>
      </c>
      <c r="B41" s="2">
        <v>0</v>
      </c>
      <c r="C41" s="2"/>
      <c r="D41" s="2">
        <f t="shared" si="0"/>
        <v>0</v>
      </c>
      <c r="E41" s="3">
        <f t="shared" si="1"/>
        <v>0</v>
      </c>
      <c r="F41" s="2">
        <f t="shared" si="2"/>
        <v>0</v>
      </c>
      <c r="G41" s="2">
        <f t="shared" si="3"/>
        <v>0</v>
      </c>
      <c r="H41" s="5"/>
      <c r="I41" s="2"/>
      <c r="J41" s="4"/>
      <c r="K41" s="4"/>
      <c r="L41" s="2"/>
      <c r="M41" s="2"/>
      <c r="N41" s="5"/>
      <c r="O41" s="5"/>
      <c r="P41" s="2"/>
      <c r="Q41" s="2"/>
      <c r="R41" s="5"/>
      <c r="S41" s="2"/>
      <c r="T41" s="2"/>
      <c r="U41" s="2"/>
    </row>
    <row r="42" spans="1:21" x14ac:dyDescent="0.25">
      <c r="A42" s="9" t="s">
        <v>53</v>
      </c>
      <c r="B42" s="2">
        <v>0</v>
      </c>
      <c r="C42" s="2"/>
      <c r="D42" s="2">
        <f t="shared" si="0"/>
        <v>0</v>
      </c>
      <c r="E42" s="3">
        <f t="shared" si="1"/>
        <v>0</v>
      </c>
      <c r="F42" s="2">
        <f t="shared" si="2"/>
        <v>0</v>
      </c>
      <c r="G42" s="2">
        <f t="shared" si="3"/>
        <v>0</v>
      </c>
      <c r="H42" s="5"/>
      <c r="I42" s="2"/>
      <c r="J42" s="4"/>
      <c r="K42" s="4"/>
      <c r="L42" s="2"/>
      <c r="M42" s="2"/>
      <c r="N42" s="5"/>
      <c r="O42" s="5"/>
      <c r="P42" s="2"/>
      <c r="Q42" s="2"/>
      <c r="R42" s="2"/>
      <c r="S42" s="2"/>
      <c r="T42" s="2"/>
      <c r="U42" s="2"/>
    </row>
    <row r="43" spans="1:21" x14ac:dyDescent="0.25">
      <c r="A43" s="9" t="s">
        <v>54</v>
      </c>
      <c r="B43" s="2">
        <v>0</v>
      </c>
      <c r="C43" s="5"/>
      <c r="D43" s="2">
        <f t="shared" si="0"/>
        <v>0</v>
      </c>
      <c r="E43" s="3">
        <f t="shared" si="1"/>
        <v>0</v>
      </c>
      <c r="F43" s="2">
        <f t="shared" si="2"/>
        <v>0</v>
      </c>
      <c r="G43" s="2">
        <f t="shared" si="3"/>
        <v>0</v>
      </c>
      <c r="H43" s="2"/>
      <c r="I43" s="2"/>
      <c r="J43" s="4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30" x14ac:dyDescent="0.25">
      <c r="A44" s="9" t="s">
        <v>55</v>
      </c>
      <c r="B44" s="5">
        <v>2.2239999999999998</v>
      </c>
      <c r="C44" s="2"/>
      <c r="D44" s="2">
        <f t="shared" si="0"/>
        <v>6.7817283649448085E-2</v>
      </c>
      <c r="E44" s="3">
        <f t="shared" si="1"/>
        <v>0.18249211888324371</v>
      </c>
      <c r="F44" s="2">
        <f t="shared" si="2"/>
        <v>4.5991839615896982E-3</v>
      </c>
      <c r="G44" s="2">
        <f t="shared" si="3"/>
        <v>0.26041751793888229</v>
      </c>
      <c r="H44" s="2"/>
      <c r="I44" s="5"/>
      <c r="J44" s="4"/>
      <c r="K44" s="4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9" t="s">
        <v>56</v>
      </c>
      <c r="B45" s="2">
        <v>0.01</v>
      </c>
      <c r="C45" s="2"/>
      <c r="D45" s="2">
        <f t="shared" si="0"/>
        <v>3.0493382935902917E-4</v>
      </c>
      <c r="E45" s="3">
        <f t="shared" si="1"/>
        <v>2.4685661272841894E-3</v>
      </c>
      <c r="F45" s="2">
        <f t="shared" si="2"/>
        <v>9.2984640287561518E-8</v>
      </c>
      <c r="G45" s="2">
        <f t="shared" si="3"/>
        <v>1.7462354633869661E-2</v>
      </c>
      <c r="H45" s="2"/>
      <c r="I45" s="2"/>
      <c r="J45" s="4"/>
      <c r="K45" s="4"/>
      <c r="L45" s="2"/>
      <c r="M45" s="2"/>
      <c r="N45" s="2"/>
      <c r="O45" s="2"/>
      <c r="P45" s="2"/>
      <c r="Q45" s="2"/>
      <c r="R45" s="2"/>
      <c r="S45" s="2"/>
      <c r="T45" s="5"/>
      <c r="U45" s="2"/>
    </row>
    <row r="46" spans="1:21" x14ac:dyDescent="0.25">
      <c r="A46" s="9" t="s">
        <v>57</v>
      </c>
      <c r="B46" s="2">
        <v>0</v>
      </c>
      <c r="C46" s="2"/>
      <c r="D46" s="2">
        <f t="shared" si="0"/>
        <v>0</v>
      </c>
      <c r="E46" s="3">
        <f t="shared" si="1"/>
        <v>0</v>
      </c>
      <c r="F46" s="2">
        <f t="shared" si="2"/>
        <v>0</v>
      </c>
      <c r="G46" s="2">
        <f t="shared" si="3"/>
        <v>0</v>
      </c>
      <c r="H46" s="2"/>
      <c r="I46" s="2"/>
      <c r="J46" s="4"/>
      <c r="K46" s="4"/>
      <c r="L46" s="2"/>
      <c r="M46" s="5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9" t="s">
        <v>58</v>
      </c>
      <c r="B47" s="5">
        <v>2.1040000000000001</v>
      </c>
      <c r="C47" s="2"/>
      <c r="D47" s="2">
        <f t="shared" si="0"/>
        <v>6.4158077697139743E-2</v>
      </c>
      <c r="E47" s="3">
        <f t="shared" si="1"/>
        <v>0.17620408314653466</v>
      </c>
      <c r="F47" s="2">
        <f t="shared" si="2"/>
        <v>4.11625893379222E-3</v>
      </c>
      <c r="G47" s="2">
        <f t="shared" si="3"/>
        <v>0.25329444861097872</v>
      </c>
      <c r="H47" s="2"/>
      <c r="I47" s="2"/>
      <c r="J47" s="4"/>
      <c r="K47" s="4"/>
      <c r="L47" s="2"/>
      <c r="M47" s="5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0" t="s">
        <v>59</v>
      </c>
      <c r="B48" s="2">
        <v>0</v>
      </c>
      <c r="C48" s="2"/>
      <c r="D48" s="2">
        <f t="shared" si="0"/>
        <v>0</v>
      </c>
      <c r="E48" s="3">
        <f t="shared" si="1"/>
        <v>0</v>
      </c>
      <c r="F48" s="2">
        <f t="shared" si="2"/>
        <v>0</v>
      </c>
      <c r="G48" s="2">
        <f t="shared" si="3"/>
        <v>0</v>
      </c>
      <c r="H48" s="2"/>
      <c r="I48" s="2"/>
      <c r="J48" s="4"/>
      <c r="K48" s="4"/>
      <c r="L48" s="2"/>
      <c r="M48" s="2"/>
      <c r="N48" s="5"/>
      <c r="O48" s="2"/>
      <c r="P48" s="2"/>
      <c r="Q48" s="2"/>
      <c r="R48" s="2"/>
      <c r="S48" s="2"/>
      <c r="T48" s="2"/>
      <c r="U48" s="2"/>
    </row>
    <row r="49" spans="1:21" x14ac:dyDescent="0.25">
      <c r="A49" s="9" t="s">
        <v>60</v>
      </c>
      <c r="B49" s="5">
        <v>0.34399999999999997</v>
      </c>
      <c r="C49" s="2"/>
      <c r="D49" s="2">
        <f t="shared" si="0"/>
        <v>1.0489723729950603E-2</v>
      </c>
      <c r="E49" s="3">
        <f t="shared" si="1"/>
        <v>4.7805438877298503E-2</v>
      </c>
      <c r="F49" s="2">
        <f t="shared" si="2"/>
        <v>1.1003430393068879E-4</v>
      </c>
      <c r="G49" s="2">
        <f t="shared" si="3"/>
        <v>0.10241935232147586</v>
      </c>
      <c r="H49" s="5"/>
      <c r="I49" s="2"/>
      <c r="J49" s="4"/>
      <c r="K49" s="4"/>
      <c r="L49" s="2"/>
      <c r="M49" s="5"/>
      <c r="N49" s="5"/>
      <c r="O49" s="2"/>
      <c r="P49" s="2"/>
      <c r="Q49" s="2"/>
      <c r="R49" s="5"/>
      <c r="S49" s="2"/>
      <c r="T49" s="2"/>
      <c r="U49" s="2"/>
    </row>
    <row r="50" spans="1:21" x14ac:dyDescent="0.25">
      <c r="A50" s="9" t="s">
        <v>61</v>
      </c>
      <c r="B50" s="5">
        <v>7.1999999999999995E-2</v>
      </c>
      <c r="C50" s="2"/>
      <c r="D50" s="2">
        <f t="shared" si="0"/>
        <v>2.1955235713850101E-3</v>
      </c>
      <c r="E50" s="3">
        <f t="shared" si="1"/>
        <v>1.3439534691990935E-2</v>
      </c>
      <c r="F50" s="2">
        <f t="shared" si="2"/>
        <v>4.8203237525071889E-6</v>
      </c>
      <c r="G50" s="2">
        <f t="shared" si="3"/>
        <v>4.6856414410249216E-2</v>
      </c>
      <c r="H50" s="5"/>
      <c r="I50" s="2"/>
      <c r="J50" s="4"/>
      <c r="K50" s="4"/>
      <c r="L50" s="2"/>
      <c r="M50" s="5"/>
      <c r="N50" s="5"/>
      <c r="O50" s="5"/>
      <c r="P50" s="2"/>
      <c r="Q50" s="5"/>
      <c r="R50" s="2"/>
      <c r="S50" s="2"/>
      <c r="T50" s="2"/>
      <c r="U50" s="2"/>
    </row>
    <row r="51" spans="1:21" x14ac:dyDescent="0.25">
      <c r="A51" s="9" t="s">
        <v>62</v>
      </c>
      <c r="B51" s="2">
        <v>0.01</v>
      </c>
      <c r="C51" s="2"/>
      <c r="D51" s="2">
        <f t="shared" si="0"/>
        <v>3.0493382935902917E-4</v>
      </c>
      <c r="E51" s="3">
        <f t="shared" si="1"/>
        <v>2.4685661272841894E-3</v>
      </c>
      <c r="F51" s="2">
        <f t="shared" si="2"/>
        <v>9.2984640287561518E-8</v>
      </c>
      <c r="G51" s="2">
        <f t="shared" si="3"/>
        <v>1.7462354633869661E-2</v>
      </c>
      <c r="H51" s="2"/>
      <c r="I51" s="2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0" t="s">
        <v>63</v>
      </c>
      <c r="B52" s="2">
        <v>0</v>
      </c>
      <c r="C52" s="2"/>
      <c r="D52" s="2">
        <f t="shared" si="0"/>
        <v>0</v>
      </c>
      <c r="E52" s="3">
        <f t="shared" si="1"/>
        <v>0</v>
      </c>
      <c r="F52" s="2">
        <f t="shared" si="2"/>
        <v>0</v>
      </c>
      <c r="G52" s="2">
        <f t="shared" si="3"/>
        <v>0</v>
      </c>
      <c r="H52" s="2"/>
      <c r="I52" s="2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9" t="s">
        <v>64</v>
      </c>
      <c r="B53" s="2">
        <v>0</v>
      </c>
      <c r="C53" s="2"/>
      <c r="D53" s="2">
        <f t="shared" si="0"/>
        <v>0</v>
      </c>
      <c r="E53" s="3">
        <f t="shared" si="1"/>
        <v>0</v>
      </c>
      <c r="F53" s="2">
        <f t="shared" si="2"/>
        <v>0</v>
      </c>
      <c r="G53" s="2">
        <f t="shared" si="3"/>
        <v>0</v>
      </c>
      <c r="H53" s="5"/>
      <c r="I53" s="2"/>
      <c r="J53" s="4"/>
      <c r="K53" s="4"/>
      <c r="L53" s="2"/>
      <c r="M53" s="2"/>
      <c r="N53" s="5"/>
      <c r="O53" s="5"/>
      <c r="P53" s="2"/>
      <c r="Q53" s="2"/>
      <c r="R53" s="2"/>
      <c r="S53" s="2"/>
      <c r="T53" s="2"/>
      <c r="U53" s="2"/>
    </row>
    <row r="54" spans="1:21" x14ac:dyDescent="0.25">
      <c r="A54" s="9" t="s">
        <v>65</v>
      </c>
      <c r="B54" s="2">
        <v>0</v>
      </c>
      <c r="C54" s="2"/>
      <c r="D54" s="2">
        <f t="shared" si="0"/>
        <v>0</v>
      </c>
      <c r="E54" s="3">
        <f t="shared" si="1"/>
        <v>0</v>
      </c>
      <c r="F54" s="2">
        <f t="shared" si="2"/>
        <v>0</v>
      </c>
      <c r="G54" s="2">
        <f t="shared" si="3"/>
        <v>0</v>
      </c>
      <c r="H54" s="3"/>
      <c r="I54" s="2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9" t="s">
        <v>66</v>
      </c>
      <c r="B55" s="2">
        <v>0.01</v>
      </c>
      <c r="C55" s="2"/>
      <c r="D55" s="2">
        <f t="shared" si="0"/>
        <v>3.0493382935902917E-4</v>
      </c>
      <c r="E55" s="3">
        <f t="shared" si="1"/>
        <v>2.4685661272841894E-3</v>
      </c>
      <c r="F55" s="2">
        <f t="shared" si="2"/>
        <v>9.2984640287561518E-8</v>
      </c>
      <c r="G55" s="2">
        <f t="shared" si="3"/>
        <v>1.7462354633869661E-2</v>
      </c>
      <c r="H55" s="5"/>
      <c r="I55" s="2"/>
      <c r="J55" s="4"/>
      <c r="K55" s="4"/>
      <c r="L55" s="2"/>
      <c r="M55" s="5"/>
      <c r="N55" s="5"/>
      <c r="O55" s="2"/>
      <c r="P55" s="2"/>
      <c r="Q55" s="2"/>
      <c r="R55" s="5"/>
      <c r="S55" s="2"/>
      <c r="T55" s="5"/>
      <c r="U55" s="5"/>
    </row>
    <row r="56" spans="1:21" x14ac:dyDescent="0.25">
      <c r="A56" s="9" t="s">
        <v>67</v>
      </c>
      <c r="B56" s="2">
        <v>0</v>
      </c>
      <c r="C56" s="2"/>
      <c r="D56" s="2">
        <f t="shared" si="0"/>
        <v>0</v>
      </c>
      <c r="E56" s="3">
        <f t="shared" si="1"/>
        <v>0</v>
      </c>
      <c r="F56" s="2">
        <f t="shared" si="2"/>
        <v>0</v>
      </c>
      <c r="G56" s="2">
        <f t="shared" si="3"/>
        <v>0</v>
      </c>
      <c r="H56" s="5"/>
      <c r="I56" s="2"/>
      <c r="J56" s="4"/>
      <c r="K56" s="4"/>
      <c r="L56" s="2"/>
      <c r="M56" s="5"/>
      <c r="N56" s="2"/>
      <c r="O56" s="5"/>
      <c r="P56" s="2"/>
      <c r="Q56" s="2"/>
      <c r="R56" s="2"/>
      <c r="S56" s="2"/>
      <c r="T56" s="5"/>
      <c r="U56" s="5"/>
    </row>
    <row r="57" spans="1:21" x14ac:dyDescent="0.25">
      <c r="A57" s="10" t="s">
        <v>68</v>
      </c>
      <c r="B57" s="2">
        <v>0</v>
      </c>
      <c r="C57" s="2"/>
      <c r="D57" s="2">
        <f t="shared" si="0"/>
        <v>0</v>
      </c>
      <c r="E57" s="3">
        <f t="shared" si="1"/>
        <v>0</v>
      </c>
      <c r="F57" s="2">
        <f t="shared" si="2"/>
        <v>0</v>
      </c>
      <c r="G57" s="2">
        <f t="shared" si="3"/>
        <v>0</v>
      </c>
      <c r="H57" s="2"/>
      <c r="I57" s="2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9" t="s">
        <v>69</v>
      </c>
      <c r="B58" s="2">
        <v>0</v>
      </c>
      <c r="C58" s="2"/>
      <c r="D58" s="2">
        <f t="shared" si="0"/>
        <v>0</v>
      </c>
      <c r="E58" s="3">
        <f t="shared" si="1"/>
        <v>0</v>
      </c>
      <c r="F58" s="2">
        <f t="shared" si="2"/>
        <v>0</v>
      </c>
      <c r="G58" s="2">
        <f t="shared" si="3"/>
        <v>0</v>
      </c>
      <c r="H58" s="5"/>
      <c r="I58" s="2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5"/>
    </row>
    <row r="59" spans="1:21" x14ac:dyDescent="0.25">
      <c r="A59" s="10" t="s">
        <v>70</v>
      </c>
      <c r="B59" s="2">
        <v>0</v>
      </c>
      <c r="C59" s="2"/>
      <c r="D59" s="2">
        <f t="shared" si="0"/>
        <v>0</v>
      </c>
      <c r="E59" s="3">
        <f t="shared" si="1"/>
        <v>0</v>
      </c>
      <c r="F59" s="2">
        <f t="shared" si="2"/>
        <v>0</v>
      </c>
      <c r="G59" s="2">
        <f t="shared" si="3"/>
        <v>0</v>
      </c>
      <c r="H59" s="2"/>
      <c r="I59" s="2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9" t="s">
        <v>71</v>
      </c>
      <c r="B60" s="2">
        <v>0</v>
      </c>
      <c r="C60" s="2"/>
      <c r="D60" s="2">
        <f t="shared" si="0"/>
        <v>0</v>
      </c>
      <c r="E60" s="3">
        <f t="shared" si="1"/>
        <v>0</v>
      </c>
      <c r="F60" s="2">
        <f t="shared" si="2"/>
        <v>0</v>
      </c>
      <c r="G60" s="2">
        <f t="shared" si="3"/>
        <v>0</v>
      </c>
      <c r="H60" s="2"/>
      <c r="I60" s="2"/>
      <c r="J60" s="4"/>
      <c r="K60" s="4"/>
      <c r="L60" s="2"/>
      <c r="M60" s="5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9" t="s">
        <v>72</v>
      </c>
      <c r="B61" s="2">
        <v>0</v>
      </c>
      <c r="C61" s="2"/>
      <c r="D61" s="2">
        <f t="shared" si="0"/>
        <v>0</v>
      </c>
      <c r="E61" s="3">
        <f t="shared" si="1"/>
        <v>0</v>
      </c>
      <c r="F61" s="2">
        <f t="shared" si="2"/>
        <v>0</v>
      </c>
      <c r="G61" s="2">
        <f t="shared" si="3"/>
        <v>0</v>
      </c>
      <c r="H61" s="2"/>
      <c r="I61" s="2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9" t="s">
        <v>73</v>
      </c>
      <c r="B62" s="2">
        <v>0</v>
      </c>
      <c r="C62" s="2"/>
      <c r="D62" s="2">
        <f t="shared" si="0"/>
        <v>0</v>
      </c>
      <c r="E62" s="3">
        <f t="shared" si="1"/>
        <v>0</v>
      </c>
      <c r="F62" s="2">
        <f t="shared" si="2"/>
        <v>0</v>
      </c>
      <c r="G62" s="2">
        <f t="shared" si="3"/>
        <v>0</v>
      </c>
      <c r="H62" s="2"/>
      <c r="I62" s="2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10" t="s">
        <v>74</v>
      </c>
      <c r="B63" s="2">
        <v>0</v>
      </c>
      <c r="C63" s="2"/>
      <c r="D63" s="2">
        <f t="shared" si="0"/>
        <v>0</v>
      </c>
      <c r="E63" s="3">
        <f t="shared" si="1"/>
        <v>0</v>
      </c>
      <c r="F63" s="2">
        <f t="shared" si="2"/>
        <v>0</v>
      </c>
      <c r="G63" s="2">
        <f t="shared" si="3"/>
        <v>0</v>
      </c>
      <c r="H63" s="2"/>
      <c r="I63" s="2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9" t="s">
        <v>75</v>
      </c>
      <c r="B64" s="2">
        <v>0</v>
      </c>
      <c r="C64" s="2"/>
      <c r="D64" s="2">
        <f t="shared" si="0"/>
        <v>0</v>
      </c>
      <c r="E64" s="3">
        <f t="shared" si="1"/>
        <v>0</v>
      </c>
      <c r="F64" s="2">
        <f t="shared" si="2"/>
        <v>0</v>
      </c>
      <c r="G64" s="2">
        <f t="shared" si="3"/>
        <v>0</v>
      </c>
      <c r="H64" s="3"/>
      <c r="I64" s="2"/>
      <c r="J64" s="4"/>
      <c r="K64" s="4"/>
      <c r="L64" s="2"/>
      <c r="M64" s="5"/>
      <c r="N64" s="5"/>
      <c r="O64" s="5"/>
      <c r="P64" s="2"/>
      <c r="Q64" s="2"/>
      <c r="R64" s="2"/>
      <c r="S64" s="2"/>
      <c r="T64" s="2"/>
      <c r="U64" s="2"/>
    </row>
    <row r="65" spans="1:21" x14ac:dyDescent="0.25">
      <c r="A65" s="9" t="s">
        <v>76</v>
      </c>
      <c r="B65" s="2">
        <v>0</v>
      </c>
      <c r="C65" s="2"/>
      <c r="D65" s="2">
        <f t="shared" si="0"/>
        <v>0</v>
      </c>
      <c r="E65" s="3">
        <f t="shared" si="1"/>
        <v>0</v>
      </c>
      <c r="F65" s="2">
        <f t="shared" si="2"/>
        <v>0</v>
      </c>
      <c r="G65" s="2">
        <f t="shared" si="3"/>
        <v>0</v>
      </c>
      <c r="H65" s="5"/>
      <c r="I65" s="5"/>
      <c r="J65" s="4"/>
      <c r="K65" s="4"/>
      <c r="L65" s="2"/>
      <c r="M65" s="2"/>
      <c r="N65" s="5"/>
      <c r="O65" s="2"/>
      <c r="P65" s="2"/>
      <c r="Q65" s="2"/>
      <c r="R65" s="2"/>
      <c r="S65" s="2"/>
      <c r="T65" s="2"/>
      <c r="U65" s="2"/>
    </row>
    <row r="66" spans="1:21" x14ac:dyDescent="0.25">
      <c r="A66" s="9" t="s">
        <v>77</v>
      </c>
      <c r="B66" s="2">
        <v>0</v>
      </c>
      <c r="C66" s="2"/>
      <c r="D66" s="2">
        <f t="shared" si="0"/>
        <v>0</v>
      </c>
      <c r="E66" s="3">
        <f t="shared" si="1"/>
        <v>0</v>
      </c>
      <c r="F66" s="2">
        <f t="shared" si="2"/>
        <v>0</v>
      </c>
      <c r="G66" s="2">
        <f t="shared" si="3"/>
        <v>0</v>
      </c>
      <c r="H66" s="2"/>
      <c r="I66" s="2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9" t="s">
        <v>78</v>
      </c>
      <c r="B67" s="2">
        <v>0</v>
      </c>
      <c r="C67" s="2"/>
      <c r="D67" s="2">
        <f t="shared" ref="D67:D130" si="4">B67/$B$141</f>
        <v>0</v>
      </c>
      <c r="E67" s="3">
        <f t="shared" ref="E67:E130" si="5">IF(D67=0,0,-D67*LN(D67))</f>
        <v>0</v>
      </c>
      <c r="F67" s="2">
        <f t="shared" ref="F67:F130" si="6">D67*D67</f>
        <v>0</v>
      </c>
      <c r="G67" s="2">
        <f t="shared" ref="G67:G130" si="7">SQRT(D67)</f>
        <v>0</v>
      </c>
      <c r="H67" s="2"/>
      <c r="I67" s="2"/>
      <c r="J67" s="4"/>
      <c r="K67" s="4"/>
      <c r="L67" s="2"/>
      <c r="M67" s="2"/>
      <c r="N67" s="2"/>
      <c r="O67" s="2"/>
      <c r="P67" s="2"/>
      <c r="Q67" s="2"/>
      <c r="R67" s="5"/>
      <c r="S67" s="2"/>
      <c r="T67" s="2"/>
      <c r="U67" s="2"/>
    </row>
    <row r="68" spans="1:21" x14ac:dyDescent="0.25">
      <c r="A68" s="9" t="s">
        <v>79</v>
      </c>
      <c r="B68" s="2">
        <v>0</v>
      </c>
      <c r="C68" s="2"/>
      <c r="D68" s="2">
        <f t="shared" si="4"/>
        <v>0</v>
      </c>
      <c r="E68" s="3">
        <f t="shared" si="5"/>
        <v>0</v>
      </c>
      <c r="F68" s="2">
        <f t="shared" si="6"/>
        <v>0</v>
      </c>
      <c r="G68" s="2">
        <f t="shared" si="7"/>
        <v>0</v>
      </c>
      <c r="H68" s="2"/>
      <c r="I68" s="2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10" t="s">
        <v>80</v>
      </c>
      <c r="B69" s="2">
        <v>0</v>
      </c>
      <c r="C69" s="2"/>
      <c r="D69" s="2">
        <f t="shared" si="4"/>
        <v>0</v>
      </c>
      <c r="E69" s="3">
        <f t="shared" si="5"/>
        <v>0</v>
      </c>
      <c r="F69" s="2">
        <f t="shared" si="6"/>
        <v>0</v>
      </c>
      <c r="G69" s="2">
        <f t="shared" si="7"/>
        <v>0</v>
      </c>
      <c r="H69" s="2"/>
      <c r="I69" s="2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9" t="s">
        <v>81</v>
      </c>
      <c r="B70" s="2">
        <v>0.01</v>
      </c>
      <c r="C70" s="2"/>
      <c r="D70" s="2">
        <f t="shared" si="4"/>
        <v>3.0493382935902917E-4</v>
      </c>
      <c r="E70" s="3">
        <f t="shared" si="5"/>
        <v>2.4685661272841894E-3</v>
      </c>
      <c r="F70" s="2">
        <f t="shared" si="6"/>
        <v>9.2984640287561518E-8</v>
      </c>
      <c r="G70" s="2">
        <f t="shared" si="7"/>
        <v>1.7462354633869661E-2</v>
      </c>
      <c r="H70" s="5"/>
      <c r="I70" s="2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5"/>
    </row>
    <row r="71" spans="1:21" x14ac:dyDescent="0.25">
      <c r="A71" s="9" t="s">
        <v>82</v>
      </c>
      <c r="B71" s="2">
        <v>0</v>
      </c>
      <c r="C71" s="2"/>
      <c r="D71" s="2">
        <f t="shared" si="4"/>
        <v>0</v>
      </c>
      <c r="E71" s="3">
        <f t="shared" si="5"/>
        <v>0</v>
      </c>
      <c r="F71" s="2">
        <f t="shared" si="6"/>
        <v>0</v>
      </c>
      <c r="G71" s="2">
        <f t="shared" si="7"/>
        <v>0</v>
      </c>
      <c r="H71" s="2"/>
      <c r="I71" s="2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9" t="s">
        <v>83</v>
      </c>
      <c r="B72" s="2">
        <v>0</v>
      </c>
      <c r="C72" s="2"/>
      <c r="D72" s="2">
        <f t="shared" si="4"/>
        <v>0</v>
      </c>
      <c r="E72" s="3">
        <f t="shared" si="5"/>
        <v>0</v>
      </c>
      <c r="F72" s="2">
        <f t="shared" si="6"/>
        <v>0</v>
      </c>
      <c r="G72" s="2">
        <f t="shared" si="7"/>
        <v>0</v>
      </c>
      <c r="H72" s="3"/>
      <c r="I72" s="2"/>
      <c r="J72" s="4"/>
      <c r="K72" s="4"/>
      <c r="L72" s="2"/>
      <c r="M72" s="5"/>
      <c r="N72" s="5"/>
      <c r="O72" s="5"/>
      <c r="P72" s="2"/>
      <c r="Q72" s="2"/>
      <c r="R72" s="2"/>
      <c r="S72" s="2"/>
      <c r="T72" s="5"/>
      <c r="U72" s="2"/>
    </row>
    <row r="73" spans="1:21" x14ac:dyDescent="0.25">
      <c r="A73" s="9" t="s">
        <v>84</v>
      </c>
      <c r="B73" s="2">
        <v>0.01</v>
      </c>
      <c r="C73" s="5"/>
      <c r="D73" s="2">
        <f t="shared" si="4"/>
        <v>3.0493382935902917E-4</v>
      </c>
      <c r="E73" s="3">
        <f t="shared" si="5"/>
        <v>2.4685661272841894E-3</v>
      </c>
      <c r="F73" s="2">
        <f t="shared" si="6"/>
        <v>9.2984640287561518E-8</v>
      </c>
      <c r="G73" s="2">
        <f t="shared" si="7"/>
        <v>1.7462354633869661E-2</v>
      </c>
      <c r="H73" s="2"/>
      <c r="I73" s="2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9" t="s">
        <v>85</v>
      </c>
      <c r="B74" s="5">
        <v>13.624000000000001</v>
      </c>
      <c r="C74" s="5"/>
      <c r="D74" s="2">
        <f t="shared" si="4"/>
        <v>0.41544184911874138</v>
      </c>
      <c r="E74" s="3">
        <f t="shared" si="5"/>
        <v>0.3649293666597046</v>
      </c>
      <c r="F74" s="2">
        <f t="shared" si="6"/>
        <v>0.17259192999919909</v>
      </c>
      <c r="G74" s="2">
        <f t="shared" si="7"/>
        <v>0.64454778652846323</v>
      </c>
      <c r="H74" s="2"/>
      <c r="I74" s="2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30" x14ac:dyDescent="0.25">
      <c r="A75" s="9" t="s">
        <v>86</v>
      </c>
      <c r="B75" s="2">
        <v>0</v>
      </c>
      <c r="C75" s="2"/>
      <c r="D75" s="2">
        <f t="shared" si="4"/>
        <v>0</v>
      </c>
      <c r="E75" s="3">
        <f t="shared" si="5"/>
        <v>0</v>
      </c>
      <c r="F75" s="2">
        <f t="shared" si="6"/>
        <v>0</v>
      </c>
      <c r="G75" s="2">
        <f t="shared" si="7"/>
        <v>0</v>
      </c>
      <c r="H75" s="2"/>
      <c r="I75" s="2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9" t="s">
        <v>87</v>
      </c>
      <c r="B76" s="2">
        <v>0.01</v>
      </c>
      <c r="C76" s="2"/>
      <c r="D76" s="2">
        <f t="shared" si="4"/>
        <v>3.0493382935902917E-4</v>
      </c>
      <c r="E76" s="3">
        <f t="shared" si="5"/>
        <v>2.4685661272841894E-3</v>
      </c>
      <c r="F76" s="2">
        <f t="shared" si="6"/>
        <v>9.2984640287561518E-8</v>
      </c>
      <c r="G76" s="2">
        <f t="shared" si="7"/>
        <v>1.7462354633869661E-2</v>
      </c>
      <c r="H76" s="2"/>
      <c r="I76" s="2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9" t="s">
        <v>88</v>
      </c>
      <c r="B77" s="2">
        <v>0.01</v>
      </c>
      <c r="C77" s="2"/>
      <c r="D77" s="2">
        <f t="shared" si="4"/>
        <v>3.0493382935902917E-4</v>
      </c>
      <c r="E77" s="3">
        <f t="shared" si="5"/>
        <v>2.4685661272841894E-3</v>
      </c>
      <c r="F77" s="2">
        <f t="shared" si="6"/>
        <v>9.2984640287561518E-8</v>
      </c>
      <c r="G77" s="2">
        <f t="shared" si="7"/>
        <v>1.7462354633869661E-2</v>
      </c>
      <c r="H77" s="5"/>
      <c r="I77" s="5"/>
      <c r="J77" s="4"/>
      <c r="K77" s="4"/>
      <c r="L77" s="2"/>
      <c r="M77" s="2"/>
      <c r="N77" s="5"/>
      <c r="O77" s="5"/>
      <c r="P77" s="2"/>
      <c r="Q77" s="2"/>
      <c r="R77" s="2"/>
      <c r="S77" s="2"/>
      <c r="T77" s="2"/>
      <c r="U77" s="2"/>
    </row>
    <row r="78" spans="1:21" x14ac:dyDescent="0.25">
      <c r="A78" s="9" t="s">
        <v>89</v>
      </c>
      <c r="B78" s="2">
        <v>0.01</v>
      </c>
      <c r="C78" s="2"/>
      <c r="D78" s="2">
        <f t="shared" si="4"/>
        <v>3.0493382935902917E-4</v>
      </c>
      <c r="E78" s="3">
        <f t="shared" si="5"/>
        <v>2.4685661272841894E-3</v>
      </c>
      <c r="F78" s="2">
        <f t="shared" si="6"/>
        <v>9.2984640287561518E-8</v>
      </c>
      <c r="G78" s="2">
        <f t="shared" si="7"/>
        <v>1.7462354633869661E-2</v>
      </c>
      <c r="H78" s="5"/>
      <c r="I78" s="5"/>
      <c r="J78" s="4"/>
      <c r="K78" s="4"/>
      <c r="L78" s="2"/>
      <c r="M78" s="2"/>
      <c r="N78" s="2"/>
      <c r="O78" s="5"/>
      <c r="P78" s="2"/>
      <c r="Q78" s="2"/>
      <c r="R78" s="2"/>
      <c r="S78" s="2"/>
      <c r="T78" s="5"/>
      <c r="U78" s="2"/>
    </row>
    <row r="79" spans="1:21" x14ac:dyDescent="0.25">
      <c r="A79" s="9" t="s">
        <v>90</v>
      </c>
      <c r="B79" s="2">
        <v>0</v>
      </c>
      <c r="C79" s="2"/>
      <c r="D79" s="2">
        <f t="shared" si="4"/>
        <v>0</v>
      </c>
      <c r="E79" s="3">
        <f t="shared" si="5"/>
        <v>0</v>
      </c>
      <c r="F79" s="2">
        <f t="shared" si="6"/>
        <v>0</v>
      </c>
      <c r="G79" s="2">
        <f t="shared" si="7"/>
        <v>0</v>
      </c>
      <c r="H79" s="2"/>
      <c r="I79" s="2"/>
      <c r="J79" s="4"/>
      <c r="K79" s="4"/>
      <c r="L79" s="2"/>
      <c r="M79" s="2"/>
      <c r="N79" s="2"/>
      <c r="O79" s="2"/>
      <c r="P79" s="2"/>
      <c r="Q79" s="5"/>
      <c r="R79" s="2"/>
      <c r="S79" s="2"/>
      <c r="T79" s="2"/>
      <c r="U79" s="2"/>
    </row>
    <row r="80" spans="1:21" x14ac:dyDescent="0.25">
      <c r="A80" s="9" t="s">
        <v>91</v>
      </c>
      <c r="B80" s="2">
        <v>0.01</v>
      </c>
      <c r="C80" s="2"/>
      <c r="D80" s="2">
        <f t="shared" si="4"/>
        <v>3.0493382935902917E-4</v>
      </c>
      <c r="E80" s="3">
        <f t="shared" si="5"/>
        <v>2.4685661272841894E-3</v>
      </c>
      <c r="F80" s="2">
        <f t="shared" si="6"/>
        <v>9.2984640287561518E-8</v>
      </c>
      <c r="G80" s="2">
        <f t="shared" si="7"/>
        <v>1.7462354633869661E-2</v>
      </c>
      <c r="H80" s="5"/>
      <c r="I80" s="5"/>
      <c r="J80" s="4"/>
      <c r="K80" s="4"/>
      <c r="L80" s="2"/>
      <c r="M80" s="2"/>
      <c r="N80" s="5"/>
      <c r="O80" s="5"/>
      <c r="P80" s="5"/>
      <c r="Q80" s="2"/>
      <c r="R80" s="2"/>
      <c r="S80" s="2"/>
      <c r="T80" s="5"/>
      <c r="U80" s="2"/>
    </row>
    <row r="81" spans="1:21" x14ac:dyDescent="0.25">
      <c r="A81" s="9" t="s">
        <v>92</v>
      </c>
      <c r="B81" s="2">
        <v>0</v>
      </c>
      <c r="C81" s="2"/>
      <c r="D81" s="2">
        <f t="shared" si="4"/>
        <v>0</v>
      </c>
      <c r="E81" s="3">
        <f t="shared" si="5"/>
        <v>0</v>
      </c>
      <c r="F81" s="2">
        <f t="shared" si="6"/>
        <v>0</v>
      </c>
      <c r="G81" s="2">
        <f t="shared" si="7"/>
        <v>0</v>
      </c>
      <c r="H81" s="2"/>
      <c r="I81" s="2"/>
      <c r="J81" s="4"/>
      <c r="K81" s="4"/>
      <c r="L81" s="2"/>
      <c r="M81" s="5"/>
      <c r="N81" s="2"/>
      <c r="O81" s="2"/>
      <c r="P81" s="2"/>
      <c r="Q81" s="5"/>
      <c r="R81" s="2"/>
      <c r="S81" s="2"/>
      <c r="T81" s="2"/>
      <c r="U81" s="5"/>
    </row>
    <row r="82" spans="1:21" x14ac:dyDescent="0.25">
      <c r="A82" s="9" t="s">
        <v>93</v>
      </c>
      <c r="B82" s="2">
        <v>0</v>
      </c>
      <c r="C82" s="2"/>
      <c r="D82" s="2">
        <f t="shared" si="4"/>
        <v>0</v>
      </c>
      <c r="E82" s="3">
        <f t="shared" si="5"/>
        <v>0</v>
      </c>
      <c r="F82" s="2">
        <f t="shared" si="6"/>
        <v>0</v>
      </c>
      <c r="G82" s="2">
        <f t="shared" si="7"/>
        <v>0</v>
      </c>
      <c r="H82" s="5"/>
      <c r="I82" s="2"/>
      <c r="J82" s="4"/>
      <c r="K82" s="4"/>
      <c r="L82" s="2"/>
      <c r="M82" s="2"/>
      <c r="N82" s="5"/>
      <c r="O82" s="2"/>
      <c r="P82" s="2"/>
      <c r="Q82" s="2"/>
      <c r="R82" s="2"/>
      <c r="S82" s="2"/>
      <c r="T82" s="2"/>
      <c r="U82" s="2"/>
    </row>
    <row r="83" spans="1:21" x14ac:dyDescent="0.25">
      <c r="A83" s="9" t="s">
        <v>94</v>
      </c>
      <c r="B83" s="2">
        <v>0</v>
      </c>
      <c r="C83" s="2"/>
      <c r="D83" s="2">
        <f t="shared" si="4"/>
        <v>0</v>
      </c>
      <c r="E83" s="3">
        <f t="shared" si="5"/>
        <v>0</v>
      </c>
      <c r="F83" s="2">
        <f t="shared" si="6"/>
        <v>0</v>
      </c>
      <c r="G83" s="2">
        <f t="shared" si="7"/>
        <v>0</v>
      </c>
      <c r="H83" s="2"/>
      <c r="I83" s="2"/>
      <c r="J83" s="4"/>
      <c r="K83" s="4"/>
      <c r="L83" s="2"/>
      <c r="M83" s="5"/>
      <c r="N83" s="2"/>
      <c r="O83" s="2"/>
      <c r="P83" s="2"/>
      <c r="Q83" s="2"/>
      <c r="R83" s="2"/>
      <c r="S83" s="2"/>
      <c r="T83" s="5"/>
      <c r="U83" s="5"/>
    </row>
    <row r="84" spans="1:21" x14ac:dyDescent="0.25">
      <c r="A84" s="10" t="s">
        <v>95</v>
      </c>
      <c r="B84" s="2">
        <v>0</v>
      </c>
      <c r="C84" s="2"/>
      <c r="D84" s="2">
        <f t="shared" si="4"/>
        <v>0</v>
      </c>
      <c r="E84" s="3">
        <f t="shared" si="5"/>
        <v>0</v>
      </c>
      <c r="F84" s="2">
        <f t="shared" si="6"/>
        <v>0</v>
      </c>
      <c r="G84" s="2">
        <f t="shared" si="7"/>
        <v>0</v>
      </c>
      <c r="H84" s="2"/>
      <c r="I84" s="2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9" t="s">
        <v>96</v>
      </c>
      <c r="B85" s="5">
        <v>0.84800000000000009</v>
      </c>
      <c r="C85" s="5"/>
      <c r="D85" s="2">
        <f t="shared" si="4"/>
        <v>2.5858388729645677E-2</v>
      </c>
      <c r="E85" s="3">
        <f t="shared" si="5"/>
        <v>9.4515519373519208E-2</v>
      </c>
      <c r="F85" s="2">
        <f t="shared" si="6"/>
        <v>6.6865626769346657E-4</v>
      </c>
      <c r="G85" s="2">
        <f t="shared" si="7"/>
        <v>0.16080543750024648</v>
      </c>
      <c r="H85" s="5"/>
      <c r="I85" s="5"/>
      <c r="J85" s="4"/>
      <c r="K85" s="4"/>
      <c r="L85" s="2"/>
      <c r="M85" s="5"/>
      <c r="N85" s="5"/>
      <c r="O85" s="2"/>
      <c r="P85" s="2"/>
      <c r="Q85" s="5"/>
      <c r="R85" s="2"/>
      <c r="S85" s="2"/>
      <c r="T85" s="5"/>
      <c r="U85" s="2"/>
    </row>
    <row r="86" spans="1:21" x14ac:dyDescent="0.25">
      <c r="A86" s="9" t="s">
        <v>97</v>
      </c>
      <c r="B86" s="5">
        <v>0.04</v>
      </c>
      <c r="C86" s="2"/>
      <c r="D86" s="2">
        <f t="shared" si="4"/>
        <v>1.2197353174361167E-3</v>
      </c>
      <c r="E86" s="3">
        <f t="shared" si="5"/>
        <v>8.1833523165162885E-3</v>
      </c>
      <c r="F86" s="2">
        <f t="shared" si="6"/>
        <v>1.4877542446009843E-6</v>
      </c>
      <c r="G86" s="2">
        <f t="shared" si="7"/>
        <v>3.4924709267739322E-2</v>
      </c>
      <c r="H86" s="2"/>
      <c r="I86" s="2"/>
      <c r="J86" s="4"/>
      <c r="K86" s="4"/>
      <c r="L86" s="2"/>
      <c r="M86" s="2"/>
      <c r="N86" s="5"/>
      <c r="O86" s="2"/>
      <c r="P86" s="2"/>
      <c r="Q86" s="2"/>
      <c r="R86" s="2"/>
      <c r="S86" s="2"/>
      <c r="T86" s="2"/>
      <c r="U86" s="2"/>
    </row>
    <row r="87" spans="1:21" x14ac:dyDescent="0.25">
      <c r="A87" s="9" t="s">
        <v>98</v>
      </c>
      <c r="B87" s="2">
        <v>0</v>
      </c>
      <c r="C87" s="2"/>
      <c r="D87" s="2">
        <f t="shared" si="4"/>
        <v>0</v>
      </c>
      <c r="E87" s="3">
        <f t="shared" si="5"/>
        <v>0</v>
      </c>
      <c r="F87" s="2">
        <f t="shared" si="6"/>
        <v>0</v>
      </c>
      <c r="G87" s="2">
        <f t="shared" si="7"/>
        <v>0</v>
      </c>
      <c r="H87" s="2"/>
      <c r="I87" s="2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9" t="s">
        <v>99</v>
      </c>
      <c r="B88" s="5">
        <v>1.496</v>
      </c>
      <c r="C88" s="2"/>
      <c r="D88" s="2">
        <f t="shared" si="4"/>
        <v>4.5618100872110767E-2</v>
      </c>
      <c r="E88" s="3">
        <f t="shared" si="5"/>
        <v>0.140843637117887</v>
      </c>
      <c r="F88" s="2">
        <f t="shared" si="6"/>
        <v>2.081011127178073E-3</v>
      </c>
      <c r="G88" s="2">
        <f t="shared" si="7"/>
        <v>0.21358394338552411</v>
      </c>
      <c r="H88" s="2"/>
      <c r="I88" s="2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9" t="s">
        <v>100</v>
      </c>
      <c r="B89" s="2">
        <v>0</v>
      </c>
      <c r="C89" s="2"/>
      <c r="D89" s="2">
        <f t="shared" si="4"/>
        <v>0</v>
      </c>
      <c r="E89" s="3">
        <f t="shared" si="5"/>
        <v>0</v>
      </c>
      <c r="F89" s="2">
        <f t="shared" si="6"/>
        <v>0</v>
      </c>
      <c r="G89" s="2">
        <f t="shared" si="7"/>
        <v>0</v>
      </c>
      <c r="H89" s="2"/>
      <c r="I89" s="2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9" t="s">
        <v>101</v>
      </c>
      <c r="B90" s="2">
        <v>0</v>
      </c>
      <c r="C90" s="2"/>
      <c r="D90" s="2">
        <f t="shared" si="4"/>
        <v>0</v>
      </c>
      <c r="E90" s="3">
        <f t="shared" si="5"/>
        <v>0</v>
      </c>
      <c r="F90" s="2">
        <f t="shared" si="6"/>
        <v>0</v>
      </c>
      <c r="G90" s="2">
        <f t="shared" si="7"/>
        <v>0</v>
      </c>
      <c r="H90" s="2"/>
      <c r="I90" s="2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10" t="s">
        <v>102</v>
      </c>
      <c r="B91" s="2">
        <v>0</v>
      </c>
      <c r="C91" s="2"/>
      <c r="D91" s="2">
        <f t="shared" si="4"/>
        <v>0</v>
      </c>
      <c r="E91" s="3">
        <f t="shared" si="5"/>
        <v>0</v>
      </c>
      <c r="F91" s="2">
        <f t="shared" si="6"/>
        <v>0</v>
      </c>
      <c r="G91" s="2">
        <f t="shared" si="7"/>
        <v>0</v>
      </c>
      <c r="H91" s="2"/>
      <c r="I91" s="2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9" t="s">
        <v>103</v>
      </c>
      <c r="B92" s="2">
        <v>0</v>
      </c>
      <c r="C92" s="2"/>
      <c r="D92" s="2">
        <f t="shared" si="4"/>
        <v>0</v>
      </c>
      <c r="E92" s="3">
        <f t="shared" si="5"/>
        <v>0</v>
      </c>
      <c r="F92" s="2">
        <f t="shared" si="6"/>
        <v>0</v>
      </c>
      <c r="G92" s="2">
        <f t="shared" si="7"/>
        <v>0</v>
      </c>
      <c r="H92" s="2"/>
      <c r="I92" s="2"/>
      <c r="J92" s="4"/>
      <c r="K92" s="4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9" t="s">
        <v>104</v>
      </c>
      <c r="B93" s="2">
        <v>0</v>
      </c>
      <c r="C93" s="2"/>
      <c r="D93" s="2">
        <f t="shared" si="4"/>
        <v>0</v>
      </c>
      <c r="E93" s="3">
        <f t="shared" si="5"/>
        <v>0</v>
      </c>
      <c r="F93" s="2">
        <f t="shared" si="6"/>
        <v>0</v>
      </c>
      <c r="G93" s="2">
        <f t="shared" si="7"/>
        <v>0</v>
      </c>
      <c r="H93" s="5"/>
      <c r="I93" s="2"/>
      <c r="J93" s="4"/>
      <c r="K93" s="4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9" t="s">
        <v>105</v>
      </c>
      <c r="B94" s="2">
        <v>0</v>
      </c>
      <c r="C94" s="2"/>
      <c r="D94" s="2">
        <f t="shared" si="4"/>
        <v>0</v>
      </c>
      <c r="E94" s="3">
        <f t="shared" si="5"/>
        <v>0</v>
      </c>
      <c r="F94" s="2">
        <f t="shared" si="6"/>
        <v>0</v>
      </c>
      <c r="G94" s="2">
        <f t="shared" si="7"/>
        <v>0</v>
      </c>
      <c r="H94" s="2"/>
      <c r="I94" s="2"/>
      <c r="J94" s="4"/>
      <c r="K94" s="4"/>
      <c r="L94" s="2"/>
      <c r="M94" s="2"/>
      <c r="N94" s="5"/>
      <c r="O94" s="2"/>
      <c r="P94" s="2"/>
      <c r="Q94" s="2"/>
      <c r="R94" s="2"/>
      <c r="S94" s="2"/>
      <c r="T94" s="2"/>
      <c r="U94" s="2"/>
    </row>
    <row r="95" spans="1:21" x14ac:dyDescent="0.25">
      <c r="A95" s="9" t="s">
        <v>106</v>
      </c>
      <c r="B95" s="2">
        <v>0</v>
      </c>
      <c r="C95" s="2"/>
      <c r="D95" s="2">
        <f t="shared" si="4"/>
        <v>0</v>
      </c>
      <c r="E95" s="3">
        <f t="shared" si="5"/>
        <v>0</v>
      </c>
      <c r="F95" s="2">
        <f t="shared" si="6"/>
        <v>0</v>
      </c>
      <c r="G95" s="2">
        <f t="shared" si="7"/>
        <v>0</v>
      </c>
      <c r="H95" s="2"/>
      <c r="I95" s="2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9" t="s">
        <v>107</v>
      </c>
      <c r="B96" s="2">
        <v>0</v>
      </c>
      <c r="C96" s="2"/>
      <c r="D96" s="2">
        <f t="shared" si="4"/>
        <v>0</v>
      </c>
      <c r="E96" s="3">
        <f t="shared" si="5"/>
        <v>0</v>
      </c>
      <c r="F96" s="2">
        <f t="shared" si="6"/>
        <v>0</v>
      </c>
      <c r="G96" s="2">
        <f t="shared" si="7"/>
        <v>0</v>
      </c>
      <c r="H96" s="2"/>
      <c r="I96" s="2"/>
      <c r="J96" s="4"/>
      <c r="K96" s="4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9" t="s">
        <v>108</v>
      </c>
      <c r="B97" s="2">
        <v>0</v>
      </c>
      <c r="C97" s="2"/>
      <c r="D97" s="2">
        <f t="shared" si="4"/>
        <v>0</v>
      </c>
      <c r="E97" s="3">
        <f t="shared" si="5"/>
        <v>0</v>
      </c>
      <c r="F97" s="2">
        <f t="shared" si="6"/>
        <v>0</v>
      </c>
      <c r="G97" s="2">
        <f t="shared" si="7"/>
        <v>0</v>
      </c>
      <c r="H97" s="2"/>
      <c r="I97" s="2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9" t="s">
        <v>109</v>
      </c>
      <c r="B98" s="5">
        <v>0.57599999999999996</v>
      </c>
      <c r="C98" s="2"/>
      <c r="D98" s="2">
        <f t="shared" si="4"/>
        <v>1.756418857108008E-2</v>
      </c>
      <c r="E98" s="3">
        <f t="shared" si="5"/>
        <v>7.0992574175325354E-2</v>
      </c>
      <c r="F98" s="2">
        <f t="shared" si="6"/>
        <v>3.0850072016046009E-4</v>
      </c>
      <c r="G98" s="2">
        <f t="shared" si="7"/>
        <v>0.13252995348629712</v>
      </c>
      <c r="H98" s="5"/>
      <c r="I98" s="2"/>
      <c r="J98" s="4"/>
      <c r="K98" s="4"/>
      <c r="L98" s="2"/>
      <c r="M98" s="2"/>
      <c r="N98" s="5"/>
      <c r="O98" s="5"/>
      <c r="P98" s="2"/>
      <c r="Q98" s="2"/>
      <c r="R98" s="5"/>
      <c r="S98" s="2"/>
      <c r="T98" s="2"/>
      <c r="U98" s="5"/>
    </row>
    <row r="99" spans="1:21" x14ac:dyDescent="0.25">
      <c r="A99" s="9" t="s">
        <v>110</v>
      </c>
      <c r="B99" s="2">
        <v>0</v>
      </c>
      <c r="C99" s="2"/>
      <c r="D99" s="2">
        <f t="shared" si="4"/>
        <v>0</v>
      </c>
      <c r="E99" s="3">
        <f t="shared" si="5"/>
        <v>0</v>
      </c>
      <c r="F99" s="2">
        <f t="shared" si="6"/>
        <v>0</v>
      </c>
      <c r="G99" s="2">
        <f t="shared" si="7"/>
        <v>0</v>
      </c>
      <c r="H99" s="5"/>
      <c r="I99" s="2"/>
      <c r="J99" s="4"/>
      <c r="K99" s="4"/>
      <c r="L99" s="2"/>
      <c r="M99" s="2"/>
      <c r="N99" s="2"/>
      <c r="O99" s="5"/>
      <c r="P99" s="2"/>
      <c r="Q99" s="2"/>
      <c r="R99" s="2"/>
      <c r="S99" s="2"/>
      <c r="T99" s="2"/>
      <c r="U99" s="2"/>
    </row>
    <row r="100" spans="1:21" x14ac:dyDescent="0.25">
      <c r="A100" s="10" t="s">
        <v>111</v>
      </c>
      <c r="B100" s="2">
        <v>0</v>
      </c>
      <c r="C100" s="2"/>
      <c r="D100" s="2">
        <f t="shared" si="4"/>
        <v>0</v>
      </c>
      <c r="E100" s="3">
        <f t="shared" si="5"/>
        <v>0</v>
      </c>
      <c r="F100" s="2">
        <f t="shared" si="6"/>
        <v>0</v>
      </c>
      <c r="G100" s="2">
        <f t="shared" si="7"/>
        <v>0</v>
      </c>
      <c r="H100" s="5"/>
      <c r="I100" s="2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9" t="s">
        <v>112</v>
      </c>
      <c r="B101" s="5">
        <v>0.35199999999999998</v>
      </c>
      <c r="C101" s="2"/>
      <c r="D101" s="2">
        <f t="shared" si="4"/>
        <v>1.0733670793437827E-2</v>
      </c>
      <c r="E101" s="3">
        <f t="shared" si="5"/>
        <v>4.8670431349470168E-2</v>
      </c>
      <c r="F101" s="2">
        <f t="shared" si="6"/>
        <v>1.1521168870190022E-4</v>
      </c>
      <c r="G101" s="2">
        <f t="shared" si="7"/>
        <v>0.10360343041346569</v>
      </c>
      <c r="H101" s="5"/>
      <c r="I101" s="2"/>
      <c r="J101" s="4"/>
      <c r="K101" s="4"/>
      <c r="L101" s="2"/>
      <c r="M101" s="5"/>
      <c r="N101" s="5"/>
      <c r="O101" s="2"/>
      <c r="P101" s="2"/>
      <c r="Q101" s="2"/>
      <c r="R101" s="2"/>
      <c r="S101" s="2"/>
      <c r="T101" s="2"/>
      <c r="U101" s="2"/>
    </row>
    <row r="102" spans="1:21" x14ac:dyDescent="0.25">
      <c r="A102" s="9" t="s">
        <v>113</v>
      </c>
      <c r="B102" s="2">
        <v>0</v>
      </c>
      <c r="C102" s="2"/>
      <c r="D102" s="2">
        <f t="shared" si="4"/>
        <v>0</v>
      </c>
      <c r="E102" s="3">
        <f t="shared" si="5"/>
        <v>0</v>
      </c>
      <c r="F102" s="2">
        <f t="shared" si="6"/>
        <v>0</v>
      </c>
      <c r="G102" s="2">
        <f t="shared" si="7"/>
        <v>0</v>
      </c>
      <c r="H102" s="2"/>
      <c r="I102" s="2"/>
      <c r="J102" s="4"/>
      <c r="K102" s="4"/>
      <c r="L102" s="2"/>
      <c r="M102" s="2"/>
      <c r="N102" s="2"/>
      <c r="O102" s="2"/>
      <c r="P102" s="2"/>
      <c r="Q102" s="2"/>
      <c r="R102" s="2"/>
      <c r="S102" s="5"/>
      <c r="T102" s="2"/>
      <c r="U102" s="2"/>
    </row>
    <row r="103" spans="1:21" x14ac:dyDescent="0.25">
      <c r="A103" s="9" t="s">
        <v>114</v>
      </c>
      <c r="B103" s="2">
        <v>0</v>
      </c>
      <c r="C103" s="2"/>
      <c r="D103" s="2">
        <f t="shared" si="4"/>
        <v>0</v>
      </c>
      <c r="E103" s="3">
        <f t="shared" si="5"/>
        <v>0</v>
      </c>
      <c r="F103" s="2">
        <f t="shared" si="6"/>
        <v>0</v>
      </c>
      <c r="G103" s="2">
        <f t="shared" si="7"/>
        <v>0</v>
      </c>
      <c r="H103" s="3"/>
      <c r="I103" s="5"/>
      <c r="J103" s="4"/>
      <c r="K103" s="4"/>
      <c r="L103" s="2"/>
      <c r="M103" s="5"/>
      <c r="N103" s="2"/>
      <c r="O103" s="5"/>
      <c r="P103" s="2"/>
      <c r="Q103" s="5"/>
      <c r="R103" s="2"/>
      <c r="S103" s="2"/>
      <c r="T103" s="5"/>
      <c r="U103" s="5"/>
    </row>
    <row r="104" spans="1:21" x14ac:dyDescent="0.25">
      <c r="A104" s="9" t="s">
        <v>115</v>
      </c>
      <c r="B104" s="2">
        <v>0</v>
      </c>
      <c r="C104" s="2"/>
      <c r="D104" s="2">
        <f t="shared" si="4"/>
        <v>0</v>
      </c>
      <c r="E104" s="3">
        <f t="shared" si="5"/>
        <v>0</v>
      </c>
      <c r="F104" s="2">
        <f t="shared" si="6"/>
        <v>0</v>
      </c>
      <c r="G104" s="2">
        <f t="shared" si="7"/>
        <v>0</v>
      </c>
      <c r="H104" s="2"/>
      <c r="I104" s="2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9" t="s">
        <v>116</v>
      </c>
      <c r="B105" s="2">
        <v>0</v>
      </c>
      <c r="C105" s="2"/>
      <c r="D105" s="2">
        <f t="shared" si="4"/>
        <v>0</v>
      </c>
      <c r="E105" s="3">
        <f t="shared" si="5"/>
        <v>0</v>
      </c>
      <c r="F105" s="2">
        <f t="shared" si="6"/>
        <v>0</v>
      </c>
      <c r="G105" s="2">
        <f t="shared" si="7"/>
        <v>0</v>
      </c>
      <c r="H105" s="5"/>
      <c r="I105" s="2"/>
      <c r="J105" s="4"/>
      <c r="K105" s="4"/>
      <c r="L105" s="2"/>
      <c r="M105" s="2"/>
      <c r="N105" s="5"/>
      <c r="O105" s="5"/>
      <c r="P105" s="2"/>
      <c r="Q105" s="2"/>
      <c r="R105" s="2"/>
      <c r="S105" s="2"/>
      <c r="T105" s="2"/>
      <c r="U105" s="2"/>
    </row>
    <row r="106" spans="1:21" x14ac:dyDescent="0.25">
      <c r="A106" s="9" t="s">
        <v>117</v>
      </c>
      <c r="B106" s="2">
        <v>0</v>
      </c>
      <c r="C106" s="2"/>
      <c r="D106" s="2">
        <f t="shared" si="4"/>
        <v>0</v>
      </c>
      <c r="E106" s="3">
        <f t="shared" si="5"/>
        <v>0</v>
      </c>
      <c r="F106" s="2">
        <f t="shared" si="6"/>
        <v>0</v>
      </c>
      <c r="G106" s="2">
        <f t="shared" si="7"/>
        <v>0</v>
      </c>
      <c r="H106" s="2"/>
      <c r="I106" s="2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9" t="s">
        <v>118</v>
      </c>
      <c r="B107" s="2">
        <v>0</v>
      </c>
      <c r="C107" s="2"/>
      <c r="D107" s="2">
        <f t="shared" si="4"/>
        <v>0</v>
      </c>
      <c r="E107" s="3">
        <f t="shared" si="5"/>
        <v>0</v>
      </c>
      <c r="F107" s="2">
        <f t="shared" si="6"/>
        <v>0</v>
      </c>
      <c r="G107" s="2">
        <f t="shared" si="7"/>
        <v>0</v>
      </c>
      <c r="H107" s="3"/>
      <c r="I107" s="2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s="9" t="s">
        <v>119</v>
      </c>
      <c r="B108" s="2">
        <v>0</v>
      </c>
      <c r="C108" s="2"/>
      <c r="D108" s="2">
        <f t="shared" si="4"/>
        <v>0</v>
      </c>
      <c r="E108" s="3">
        <f t="shared" si="5"/>
        <v>0</v>
      </c>
      <c r="F108" s="2">
        <f t="shared" si="6"/>
        <v>0</v>
      </c>
      <c r="G108" s="2">
        <f t="shared" si="7"/>
        <v>0</v>
      </c>
      <c r="H108" s="3"/>
      <c r="I108" s="2"/>
      <c r="J108" s="4"/>
      <c r="K108" s="4"/>
      <c r="L108" s="2"/>
      <c r="M108" s="2"/>
      <c r="N108" s="3"/>
      <c r="O108" s="2"/>
      <c r="P108" s="2"/>
      <c r="Q108" s="2"/>
      <c r="R108" s="2"/>
      <c r="S108" s="2"/>
      <c r="T108" s="2"/>
      <c r="U108" s="2"/>
    </row>
    <row r="109" spans="1:21" x14ac:dyDescent="0.25">
      <c r="A109" s="9" t="s">
        <v>120</v>
      </c>
      <c r="B109" s="2">
        <v>0</v>
      </c>
      <c r="C109" s="2"/>
      <c r="D109" s="2">
        <f t="shared" si="4"/>
        <v>0</v>
      </c>
      <c r="E109" s="3">
        <f t="shared" si="5"/>
        <v>0</v>
      </c>
      <c r="F109" s="2">
        <f t="shared" si="6"/>
        <v>0</v>
      </c>
      <c r="G109" s="2">
        <f t="shared" si="7"/>
        <v>0</v>
      </c>
      <c r="H109" s="5"/>
      <c r="I109" s="2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A110" s="9" t="s">
        <v>121</v>
      </c>
      <c r="B110" s="2">
        <v>0.88</v>
      </c>
      <c r="C110" s="2"/>
      <c r="D110" s="2">
        <f t="shared" si="4"/>
        <v>2.6834176983594568E-2</v>
      </c>
      <c r="E110" s="3">
        <f t="shared" si="5"/>
        <v>9.7088170706136942E-2</v>
      </c>
      <c r="F110" s="2">
        <f t="shared" si="6"/>
        <v>7.2007305438687651E-4</v>
      </c>
      <c r="G110" s="2">
        <f t="shared" si="7"/>
        <v>0.1638114067566559</v>
      </c>
      <c r="H110" s="5"/>
      <c r="I110" s="5"/>
      <c r="J110" s="4"/>
      <c r="K110" s="4"/>
      <c r="L110" s="2"/>
      <c r="M110" s="5"/>
      <c r="N110" s="5"/>
      <c r="O110" s="5"/>
      <c r="P110" s="2"/>
      <c r="Q110" s="5"/>
      <c r="R110" s="2"/>
      <c r="S110" s="2"/>
      <c r="T110" s="5"/>
      <c r="U110" s="2"/>
    </row>
    <row r="111" spans="1:21" x14ac:dyDescent="0.25">
      <c r="A111" s="9" t="s">
        <v>122</v>
      </c>
      <c r="B111" s="2">
        <v>0</v>
      </c>
      <c r="C111" s="2"/>
      <c r="D111" s="2">
        <f t="shared" si="4"/>
        <v>0</v>
      </c>
      <c r="E111" s="3">
        <f t="shared" si="5"/>
        <v>0</v>
      </c>
      <c r="F111" s="2">
        <f t="shared" si="6"/>
        <v>0</v>
      </c>
      <c r="G111" s="2">
        <f t="shared" si="7"/>
        <v>0</v>
      </c>
      <c r="H111" s="2"/>
      <c r="I111" s="2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A112" s="9" t="s">
        <v>123</v>
      </c>
      <c r="B112" s="2">
        <v>0</v>
      </c>
      <c r="C112" s="2"/>
      <c r="D112" s="2">
        <f t="shared" si="4"/>
        <v>0</v>
      </c>
      <c r="E112" s="3">
        <f t="shared" si="5"/>
        <v>0</v>
      </c>
      <c r="F112" s="2">
        <f t="shared" si="6"/>
        <v>0</v>
      </c>
      <c r="G112" s="2">
        <f t="shared" si="7"/>
        <v>0</v>
      </c>
      <c r="H112" s="5"/>
      <c r="I112" s="2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5">
      <c r="A113" s="10" t="s">
        <v>124</v>
      </c>
      <c r="B113" s="2">
        <v>0</v>
      </c>
      <c r="C113" s="2"/>
      <c r="D113" s="2">
        <f t="shared" si="4"/>
        <v>0</v>
      </c>
      <c r="E113" s="3">
        <f t="shared" si="5"/>
        <v>0</v>
      </c>
      <c r="F113" s="2">
        <f t="shared" si="6"/>
        <v>0</v>
      </c>
      <c r="G113" s="2">
        <f t="shared" si="7"/>
        <v>0</v>
      </c>
      <c r="H113" s="2"/>
      <c r="I113" s="2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30" x14ac:dyDescent="0.25">
      <c r="A114" s="9" t="s">
        <v>125</v>
      </c>
      <c r="B114" s="2">
        <v>0</v>
      </c>
      <c r="C114" s="2"/>
      <c r="D114" s="2">
        <f t="shared" si="4"/>
        <v>0</v>
      </c>
      <c r="E114" s="3">
        <f t="shared" si="5"/>
        <v>0</v>
      </c>
      <c r="F114" s="2">
        <f t="shared" si="6"/>
        <v>0</v>
      </c>
      <c r="G114" s="2">
        <f t="shared" si="7"/>
        <v>0</v>
      </c>
      <c r="H114" s="2"/>
      <c r="I114" s="2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5">
      <c r="A115" s="9" t="s">
        <v>126</v>
      </c>
      <c r="B115" s="2">
        <v>0</v>
      </c>
      <c r="C115" s="2"/>
      <c r="D115" s="2">
        <f t="shared" si="4"/>
        <v>0</v>
      </c>
      <c r="E115" s="3">
        <f t="shared" si="5"/>
        <v>0</v>
      </c>
      <c r="F115" s="2">
        <f t="shared" si="6"/>
        <v>0</v>
      </c>
      <c r="G115" s="2">
        <f t="shared" si="7"/>
        <v>0</v>
      </c>
      <c r="H115" s="2"/>
      <c r="I115" s="2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U115" s="5"/>
    </row>
    <row r="116" spans="1:21" x14ac:dyDescent="0.25">
      <c r="A116" s="9" t="s">
        <v>127</v>
      </c>
      <c r="B116" s="2">
        <v>0.01</v>
      </c>
      <c r="C116" s="2"/>
      <c r="D116" s="2">
        <f t="shared" si="4"/>
        <v>3.0493382935902917E-4</v>
      </c>
      <c r="E116" s="3">
        <f t="shared" si="5"/>
        <v>2.4685661272841894E-3</v>
      </c>
      <c r="F116" s="2">
        <f t="shared" si="6"/>
        <v>9.2984640287561518E-8</v>
      </c>
      <c r="G116" s="2">
        <f t="shared" si="7"/>
        <v>1.7462354633869661E-2</v>
      </c>
      <c r="H116" s="5"/>
      <c r="I116" s="2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5">
      <c r="A117" s="9" t="s">
        <v>128</v>
      </c>
      <c r="B117" s="2">
        <v>0.01</v>
      </c>
      <c r="C117" s="2"/>
      <c r="D117" s="2">
        <f t="shared" si="4"/>
        <v>3.0493382935902917E-4</v>
      </c>
      <c r="E117" s="3">
        <f t="shared" si="5"/>
        <v>2.4685661272841894E-3</v>
      </c>
      <c r="F117" s="2">
        <f t="shared" si="6"/>
        <v>9.2984640287561518E-8</v>
      </c>
      <c r="G117" s="2">
        <f t="shared" si="7"/>
        <v>1.7462354633869661E-2</v>
      </c>
      <c r="H117" s="5"/>
      <c r="I117" s="2"/>
      <c r="J117" s="4"/>
      <c r="K117" s="4"/>
      <c r="L117" s="2"/>
      <c r="M117" s="5"/>
      <c r="N117" s="5"/>
      <c r="O117" s="5"/>
      <c r="P117" s="2"/>
      <c r="Q117" s="2"/>
      <c r="R117" s="2"/>
      <c r="S117" s="2"/>
      <c r="T117" s="2"/>
      <c r="U117" s="2"/>
    </row>
    <row r="118" spans="1:21" x14ac:dyDescent="0.25">
      <c r="A118" s="9" t="s">
        <v>129</v>
      </c>
      <c r="B118" s="2">
        <v>0.01</v>
      </c>
      <c r="C118" s="2"/>
      <c r="D118" s="2">
        <f t="shared" si="4"/>
        <v>3.0493382935902917E-4</v>
      </c>
      <c r="E118" s="3">
        <f t="shared" si="5"/>
        <v>2.4685661272841894E-3</v>
      </c>
      <c r="F118" s="2">
        <f t="shared" si="6"/>
        <v>9.2984640287561518E-8</v>
      </c>
      <c r="G118" s="2">
        <f t="shared" si="7"/>
        <v>1.7462354633869661E-2</v>
      </c>
      <c r="H118" s="2"/>
      <c r="I118" s="2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5"/>
      <c r="U118" s="5"/>
    </row>
    <row r="119" spans="1:21" x14ac:dyDescent="0.25">
      <c r="A119" s="9" t="s">
        <v>130</v>
      </c>
      <c r="B119" s="2">
        <v>0</v>
      </c>
      <c r="C119" s="2"/>
      <c r="D119" s="2">
        <f t="shared" si="4"/>
        <v>0</v>
      </c>
      <c r="E119" s="3">
        <f t="shared" si="5"/>
        <v>0</v>
      </c>
      <c r="F119" s="2">
        <f t="shared" si="6"/>
        <v>0</v>
      </c>
      <c r="G119" s="2">
        <f t="shared" si="7"/>
        <v>0</v>
      </c>
      <c r="H119" s="5"/>
      <c r="I119" s="2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5"/>
      <c r="U119" s="5"/>
    </row>
    <row r="120" spans="1:21" x14ac:dyDescent="0.25">
      <c r="A120" s="9" t="s">
        <v>131</v>
      </c>
      <c r="B120" s="2">
        <v>0</v>
      </c>
      <c r="C120" s="5"/>
      <c r="D120" s="2">
        <f t="shared" si="4"/>
        <v>0</v>
      </c>
      <c r="E120" s="3">
        <f t="shared" si="5"/>
        <v>0</v>
      </c>
      <c r="F120" s="2">
        <f t="shared" si="6"/>
        <v>0</v>
      </c>
      <c r="G120" s="2">
        <f t="shared" si="7"/>
        <v>0</v>
      </c>
      <c r="H120" s="5"/>
      <c r="I120" s="5"/>
      <c r="J120" s="4"/>
      <c r="K120" s="4"/>
      <c r="L120" s="2"/>
      <c r="M120" s="5"/>
      <c r="N120" s="5"/>
      <c r="O120" s="5"/>
      <c r="P120" s="2"/>
      <c r="Q120" s="5"/>
      <c r="R120" s="2"/>
      <c r="S120" s="2"/>
      <c r="T120" s="5"/>
      <c r="U120" s="5"/>
    </row>
    <row r="121" spans="1:21" x14ac:dyDescent="0.25">
      <c r="A121" s="9" t="s">
        <v>132</v>
      </c>
      <c r="B121" s="2">
        <v>0</v>
      </c>
      <c r="C121" s="2"/>
      <c r="D121" s="2">
        <f t="shared" si="4"/>
        <v>0</v>
      </c>
      <c r="E121" s="3">
        <f t="shared" si="5"/>
        <v>0</v>
      </c>
      <c r="F121" s="2">
        <f t="shared" si="6"/>
        <v>0</v>
      </c>
      <c r="G121" s="2">
        <f t="shared" si="7"/>
        <v>0</v>
      </c>
      <c r="H121" s="5"/>
      <c r="I121" s="2"/>
      <c r="J121" s="4"/>
      <c r="K121" s="4"/>
      <c r="L121" s="2"/>
      <c r="M121" s="5"/>
      <c r="N121" s="5"/>
      <c r="O121" s="5"/>
      <c r="P121" s="2"/>
      <c r="Q121" s="2"/>
      <c r="R121" s="2"/>
      <c r="S121" s="2"/>
      <c r="T121" s="2"/>
      <c r="U121" s="2"/>
    </row>
    <row r="122" spans="1:21" x14ac:dyDescent="0.25">
      <c r="A122" s="9" t="s">
        <v>133</v>
      </c>
      <c r="B122" s="5">
        <v>0.27199999999999996</v>
      </c>
      <c r="C122" s="2"/>
      <c r="D122" s="2">
        <f t="shared" si="4"/>
        <v>8.2942001585655928E-3</v>
      </c>
      <c r="E122" s="3">
        <f t="shared" si="5"/>
        <v>3.9747455918392335E-2</v>
      </c>
      <c r="F122" s="2">
        <f t="shared" si="6"/>
        <v>6.8793756270349503E-5</v>
      </c>
      <c r="G122" s="2">
        <f t="shared" si="7"/>
        <v>9.107249946369976E-2</v>
      </c>
      <c r="H122" s="5"/>
      <c r="I122" s="2"/>
      <c r="J122" s="4"/>
      <c r="K122" s="4"/>
      <c r="L122" s="2"/>
      <c r="M122" s="5"/>
      <c r="N122" s="3"/>
      <c r="O122" s="5"/>
      <c r="P122" s="2"/>
      <c r="Q122" s="2"/>
      <c r="R122" s="2"/>
      <c r="S122" s="2"/>
      <c r="T122" s="2"/>
      <c r="U122" s="2"/>
    </row>
    <row r="123" spans="1:21" x14ac:dyDescent="0.25">
      <c r="A123" s="9" t="s">
        <v>134</v>
      </c>
      <c r="B123" s="2">
        <v>0</v>
      </c>
      <c r="C123" s="2"/>
      <c r="D123" s="2">
        <f t="shared" si="4"/>
        <v>0</v>
      </c>
      <c r="E123" s="3">
        <f t="shared" si="5"/>
        <v>0</v>
      </c>
      <c r="F123" s="2">
        <f t="shared" si="6"/>
        <v>0</v>
      </c>
      <c r="G123" s="2">
        <f t="shared" si="7"/>
        <v>0</v>
      </c>
      <c r="H123" s="3"/>
      <c r="I123" s="2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25">
      <c r="A124" s="9" t="s">
        <v>135</v>
      </c>
      <c r="B124" s="2">
        <v>0</v>
      </c>
      <c r="C124" s="2"/>
      <c r="D124" s="2">
        <f t="shared" si="4"/>
        <v>0</v>
      </c>
      <c r="E124" s="3">
        <f t="shared" si="5"/>
        <v>0</v>
      </c>
      <c r="F124" s="2">
        <f t="shared" si="6"/>
        <v>0</v>
      </c>
      <c r="G124" s="2">
        <f t="shared" si="7"/>
        <v>0</v>
      </c>
      <c r="H124" s="5"/>
      <c r="I124" s="2"/>
      <c r="J124" s="4"/>
      <c r="K124" s="4"/>
      <c r="L124" s="2"/>
      <c r="M124" s="5"/>
      <c r="N124" s="5"/>
      <c r="O124" s="5"/>
      <c r="P124" s="2"/>
      <c r="Q124" s="2"/>
      <c r="R124" s="2"/>
      <c r="S124" s="2"/>
      <c r="T124" s="2"/>
      <c r="U124" s="2"/>
    </row>
    <row r="125" spans="1:21" x14ac:dyDescent="0.25">
      <c r="A125" s="9" t="s">
        <v>136</v>
      </c>
      <c r="B125" s="2">
        <v>0</v>
      </c>
      <c r="C125" s="2"/>
      <c r="D125" s="2">
        <f t="shared" si="4"/>
        <v>0</v>
      </c>
      <c r="E125" s="3">
        <f t="shared" si="5"/>
        <v>0</v>
      </c>
      <c r="F125" s="2">
        <f t="shared" si="6"/>
        <v>0</v>
      </c>
      <c r="G125" s="2">
        <f t="shared" si="7"/>
        <v>0</v>
      </c>
      <c r="H125" s="2"/>
      <c r="I125" s="2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5">
      <c r="A126" s="9" t="s">
        <v>137</v>
      </c>
      <c r="B126" s="2">
        <v>0</v>
      </c>
      <c r="C126" s="2"/>
      <c r="D126" s="2">
        <f t="shared" si="4"/>
        <v>0</v>
      </c>
      <c r="E126" s="3">
        <f t="shared" si="5"/>
        <v>0</v>
      </c>
      <c r="F126" s="2">
        <f t="shared" si="6"/>
        <v>0</v>
      </c>
      <c r="G126" s="2">
        <f t="shared" si="7"/>
        <v>0</v>
      </c>
      <c r="H126" s="2"/>
      <c r="I126" s="2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9" t="s">
        <v>138</v>
      </c>
      <c r="B127" s="2">
        <v>0</v>
      </c>
      <c r="C127" s="2"/>
      <c r="D127" s="2">
        <f t="shared" si="4"/>
        <v>0</v>
      </c>
      <c r="E127" s="3">
        <f t="shared" si="5"/>
        <v>0</v>
      </c>
      <c r="F127" s="2">
        <f t="shared" si="6"/>
        <v>0</v>
      </c>
      <c r="G127" s="2">
        <f t="shared" si="7"/>
        <v>0</v>
      </c>
      <c r="H127" s="2"/>
      <c r="I127" s="2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5"/>
    </row>
    <row r="128" spans="1:21" x14ac:dyDescent="0.25">
      <c r="A128" s="9" t="s">
        <v>139</v>
      </c>
      <c r="B128" s="2">
        <v>0</v>
      </c>
      <c r="C128" s="2"/>
      <c r="D128" s="2">
        <f t="shared" si="4"/>
        <v>0</v>
      </c>
      <c r="E128" s="3">
        <f t="shared" si="5"/>
        <v>0</v>
      </c>
      <c r="F128" s="2">
        <f t="shared" si="6"/>
        <v>0</v>
      </c>
      <c r="G128" s="2">
        <f t="shared" si="7"/>
        <v>0</v>
      </c>
      <c r="H128" s="5"/>
      <c r="I128" s="2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25">
      <c r="A129" s="9" t="s">
        <v>140</v>
      </c>
      <c r="B129" s="2">
        <v>0</v>
      </c>
      <c r="C129" s="2"/>
      <c r="D129" s="2">
        <f t="shared" si="4"/>
        <v>0</v>
      </c>
      <c r="E129" s="3">
        <f t="shared" si="5"/>
        <v>0</v>
      </c>
      <c r="F129" s="2">
        <f t="shared" si="6"/>
        <v>0</v>
      </c>
      <c r="G129" s="2">
        <f t="shared" si="7"/>
        <v>0</v>
      </c>
      <c r="H129" s="5"/>
      <c r="I129" s="2"/>
      <c r="J129" s="4"/>
      <c r="K129" s="4"/>
      <c r="L129" s="2"/>
      <c r="M129" s="2"/>
      <c r="N129" s="5"/>
      <c r="O129" s="5"/>
      <c r="P129" s="2"/>
      <c r="Q129" s="5"/>
      <c r="R129" s="2"/>
      <c r="S129" s="2"/>
      <c r="T129" s="2"/>
      <c r="U129" s="5"/>
    </row>
    <row r="130" spans="1:21" x14ac:dyDescent="0.25">
      <c r="A130" s="9" t="s">
        <v>141</v>
      </c>
      <c r="B130" s="2">
        <v>0</v>
      </c>
      <c r="C130" s="2"/>
      <c r="D130" s="2">
        <f t="shared" si="4"/>
        <v>0</v>
      </c>
      <c r="E130" s="3">
        <f t="shared" si="5"/>
        <v>0</v>
      </c>
      <c r="F130" s="2">
        <f t="shared" si="6"/>
        <v>0</v>
      </c>
      <c r="G130" s="2">
        <f t="shared" si="7"/>
        <v>0</v>
      </c>
      <c r="H130" s="2"/>
      <c r="I130" s="2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5">
      <c r="A131" s="9" t="s">
        <v>142</v>
      </c>
      <c r="B131" s="2">
        <v>0</v>
      </c>
      <c r="C131" s="2"/>
      <c r="D131" s="2">
        <f t="shared" ref="D131:D139" si="8">B131/$B$141</f>
        <v>0</v>
      </c>
      <c r="E131" s="3">
        <f t="shared" ref="E131:E139" si="9">IF(D131=0,0,-D131*LN(D131))</f>
        <v>0</v>
      </c>
      <c r="F131" s="2">
        <f t="shared" ref="F131:F139" si="10">D131*D131</f>
        <v>0</v>
      </c>
      <c r="G131" s="2">
        <f t="shared" ref="G131:G139" si="11">SQRT(D131)</f>
        <v>0</v>
      </c>
      <c r="H131" s="2"/>
      <c r="I131" s="2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5">
      <c r="A132" s="9" t="s">
        <v>143</v>
      </c>
      <c r="B132" s="2">
        <v>0</v>
      </c>
      <c r="C132" s="2"/>
      <c r="D132" s="2">
        <f t="shared" si="8"/>
        <v>0</v>
      </c>
      <c r="E132" s="3">
        <f t="shared" si="9"/>
        <v>0</v>
      </c>
      <c r="F132" s="2">
        <f t="shared" si="10"/>
        <v>0</v>
      </c>
      <c r="G132" s="2">
        <f t="shared" si="11"/>
        <v>0</v>
      </c>
      <c r="H132" s="2"/>
      <c r="I132" s="2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5"/>
    </row>
    <row r="133" spans="1:21" x14ac:dyDescent="0.25">
      <c r="A133" s="9" t="s">
        <v>144</v>
      </c>
      <c r="B133" s="2">
        <v>0</v>
      </c>
      <c r="C133" s="2"/>
      <c r="D133" s="2">
        <f t="shared" si="8"/>
        <v>0</v>
      </c>
      <c r="E133" s="3">
        <f t="shared" si="9"/>
        <v>0</v>
      </c>
      <c r="F133" s="2">
        <f t="shared" si="10"/>
        <v>0</v>
      </c>
      <c r="G133" s="2">
        <f t="shared" si="11"/>
        <v>0</v>
      </c>
      <c r="H133" s="5"/>
      <c r="I133" s="2"/>
      <c r="J133" s="4"/>
      <c r="K133" s="4"/>
      <c r="L133" s="2"/>
      <c r="M133" s="2"/>
      <c r="N133" s="3"/>
      <c r="O133" s="5"/>
      <c r="P133" s="2"/>
      <c r="Q133" s="2"/>
      <c r="R133" s="2"/>
      <c r="S133" s="2"/>
      <c r="T133" s="2"/>
      <c r="U133" s="2"/>
    </row>
    <row r="134" spans="1:21" x14ac:dyDescent="0.25">
      <c r="A134" s="9" t="s">
        <v>145</v>
      </c>
      <c r="B134" s="2">
        <v>0.01</v>
      </c>
      <c r="C134" s="2"/>
      <c r="D134" s="2">
        <f t="shared" si="8"/>
        <v>3.0493382935902917E-4</v>
      </c>
      <c r="E134" s="3">
        <f t="shared" si="9"/>
        <v>2.4685661272841894E-3</v>
      </c>
      <c r="F134" s="2">
        <f t="shared" si="10"/>
        <v>9.2984640287561518E-8</v>
      </c>
      <c r="G134" s="2">
        <f t="shared" si="11"/>
        <v>1.7462354633869661E-2</v>
      </c>
      <c r="H134" s="3"/>
      <c r="I134" s="2"/>
      <c r="J134" s="4"/>
      <c r="K134" s="4"/>
      <c r="L134" s="2"/>
      <c r="M134" s="2"/>
      <c r="N134" s="5"/>
      <c r="O134" s="2"/>
      <c r="P134" s="2"/>
      <c r="Q134" s="2"/>
      <c r="R134" s="2"/>
      <c r="S134" s="2"/>
      <c r="T134" s="2"/>
      <c r="U134" s="2"/>
    </row>
    <row r="135" spans="1:21" x14ac:dyDescent="0.25">
      <c r="A135" s="9" t="s">
        <v>146</v>
      </c>
      <c r="B135" s="2">
        <v>0</v>
      </c>
      <c r="C135" s="2"/>
      <c r="D135" s="2">
        <f t="shared" si="8"/>
        <v>0</v>
      </c>
      <c r="E135" s="3">
        <f t="shared" si="9"/>
        <v>0</v>
      </c>
      <c r="F135" s="2">
        <f t="shared" si="10"/>
        <v>0</v>
      </c>
      <c r="G135" s="2">
        <f t="shared" si="11"/>
        <v>0</v>
      </c>
      <c r="H135" s="5"/>
      <c r="I135" s="2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25">
      <c r="A136" s="9" t="s">
        <v>147</v>
      </c>
      <c r="B136" s="2">
        <v>0</v>
      </c>
      <c r="C136" s="2"/>
      <c r="D136" s="2">
        <f t="shared" si="8"/>
        <v>0</v>
      </c>
      <c r="E136" s="3">
        <f t="shared" si="9"/>
        <v>0</v>
      </c>
      <c r="F136" s="2">
        <f t="shared" si="10"/>
        <v>0</v>
      </c>
      <c r="G136" s="2">
        <f t="shared" si="11"/>
        <v>0</v>
      </c>
      <c r="H136" s="3"/>
      <c r="I136" s="2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25">
      <c r="A137" s="9" t="s">
        <v>148</v>
      </c>
      <c r="B137" s="2">
        <v>0</v>
      </c>
      <c r="C137" s="2"/>
      <c r="D137" s="2">
        <f t="shared" si="8"/>
        <v>0</v>
      </c>
      <c r="E137" s="3">
        <f t="shared" si="9"/>
        <v>0</v>
      </c>
      <c r="F137" s="2">
        <f t="shared" si="10"/>
        <v>0</v>
      </c>
      <c r="G137" s="2">
        <f t="shared" si="11"/>
        <v>0</v>
      </c>
      <c r="H137" s="6"/>
      <c r="I137" s="2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5">
      <c r="A138" s="10" t="s">
        <v>149</v>
      </c>
      <c r="B138" s="2">
        <v>0</v>
      </c>
      <c r="C138" s="2"/>
      <c r="D138" s="2">
        <f t="shared" si="8"/>
        <v>0</v>
      </c>
      <c r="E138" s="3">
        <f t="shared" si="9"/>
        <v>0</v>
      </c>
      <c r="F138" s="2">
        <f>D138*D138</f>
        <v>0</v>
      </c>
      <c r="G138" s="2">
        <f t="shared" si="11"/>
        <v>0</v>
      </c>
      <c r="H138" s="3"/>
      <c r="I138" s="2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5">
      <c r="A139" s="11" t="s">
        <v>150</v>
      </c>
      <c r="B139" s="2">
        <v>0</v>
      </c>
      <c r="C139" s="2"/>
      <c r="D139" s="2">
        <f t="shared" si="8"/>
        <v>0</v>
      </c>
      <c r="E139" s="3">
        <f t="shared" si="9"/>
        <v>0</v>
      </c>
      <c r="F139" s="2">
        <f t="shared" si="10"/>
        <v>0</v>
      </c>
      <c r="G139" s="2">
        <f t="shared" si="11"/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1" spans="1:21" x14ac:dyDescent="0.25">
      <c r="A141" s="13" t="s">
        <v>153</v>
      </c>
      <c r="B141" s="17">
        <f>SUM(B2:B139)</f>
        <v>32.79399999999999</v>
      </c>
      <c r="C141">
        <f t="shared" ref="C141:E141" si="12">SUM(C2:C139)</f>
        <v>0</v>
      </c>
      <c r="D141">
        <f t="shared" si="12"/>
        <v>1.0000000000000002</v>
      </c>
    </row>
    <row r="143" spans="1:21" x14ac:dyDescent="0.25">
      <c r="A143" s="14" t="s">
        <v>151</v>
      </c>
      <c r="B143" s="17">
        <f>COUNTIF(B2:B139,"&gt;0")</f>
        <v>34</v>
      </c>
    </row>
    <row r="144" spans="1:21" x14ac:dyDescent="0.25">
      <c r="A144" s="13"/>
    </row>
    <row r="145" spans="1:3" x14ac:dyDescent="0.25">
      <c r="A145" s="13"/>
    </row>
    <row r="146" spans="1:3" x14ac:dyDescent="0.25">
      <c r="A146" s="13" t="s">
        <v>154</v>
      </c>
      <c r="B146" s="18">
        <f>LN(B143)/LN(B141)</f>
        <v>1.0103473959196441</v>
      </c>
      <c r="C146" s="19"/>
    </row>
    <row r="147" spans="1:3" x14ac:dyDescent="0.25">
      <c r="A147" s="13" t="s">
        <v>155</v>
      </c>
      <c r="B147" s="18">
        <f>(B143-1)/LN(B141)</f>
        <v>9.4549221024351766</v>
      </c>
      <c r="C147" s="19"/>
    </row>
    <row r="148" spans="1:3" x14ac:dyDescent="0.25">
      <c r="A148" s="13" t="s">
        <v>156</v>
      </c>
      <c r="B148" s="16">
        <f>SUM(E2:E139)</f>
        <v>2.0103906949943124</v>
      </c>
    </row>
    <row r="149" spans="1:3" x14ac:dyDescent="0.25">
      <c r="A149" s="13" t="s">
        <v>157</v>
      </c>
      <c r="B149" s="18">
        <f>B148/LN(B143)</f>
        <v>0.57010356172051924</v>
      </c>
    </row>
    <row r="150" spans="1:3" x14ac:dyDescent="0.25">
      <c r="A150" s="13" t="s">
        <v>158</v>
      </c>
      <c r="B150" s="15">
        <f>SUM(F2:F139)</f>
        <v>0.22455975482911009</v>
      </c>
      <c r="C150" s="15">
        <f>1-B150</f>
        <v>0.77544024517088994</v>
      </c>
    </row>
    <row r="151" spans="1:3" x14ac:dyDescent="0.25">
      <c r="A151" s="13" t="s">
        <v>159</v>
      </c>
      <c r="B151" s="16">
        <f>SUM(G2:G139)^2</f>
        <v>12.665384059597237</v>
      </c>
    </row>
    <row r="152" spans="1:3" x14ac:dyDescent="0.25">
      <c r="A152" s="13" t="s">
        <v>160</v>
      </c>
      <c r="B152" s="18">
        <f>1-B151/B143</f>
        <v>0.62748870412949298</v>
      </c>
    </row>
    <row r="153" spans="1:3" x14ac:dyDescent="0.25">
      <c r="A153" s="1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1"/>
  <sheetViews>
    <sheetView topLeftCell="E3" workbookViewId="0">
      <selection activeCell="Z23" sqref="Z23"/>
    </sheetView>
  </sheetViews>
  <sheetFormatPr defaultRowHeight="15" x14ac:dyDescent="0.25"/>
  <sheetData>
    <row r="1" spans="1:139" ht="135" x14ac:dyDescent="0.25">
      <c r="A1" s="7" t="s">
        <v>0</v>
      </c>
      <c r="B1" s="8" t="s">
        <v>13</v>
      </c>
      <c r="C1" s="9" t="s">
        <v>14</v>
      </c>
      <c r="D1" s="10" t="s">
        <v>15</v>
      </c>
      <c r="E1" s="10" t="s">
        <v>16</v>
      </c>
      <c r="F1" s="9" t="s">
        <v>17</v>
      </c>
      <c r="G1" s="9" t="s">
        <v>18</v>
      </c>
      <c r="H1" s="10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10" t="s">
        <v>35</v>
      </c>
      <c r="Y1" s="10" t="s">
        <v>36</v>
      </c>
      <c r="Z1" s="10" t="s">
        <v>37</v>
      </c>
      <c r="AA1" s="9" t="s">
        <v>38</v>
      </c>
      <c r="AB1" s="9" t="s">
        <v>39</v>
      </c>
      <c r="AC1" s="9" t="s">
        <v>40</v>
      </c>
      <c r="AD1" s="10" t="s">
        <v>41</v>
      </c>
      <c r="AE1" s="9" t="s">
        <v>42</v>
      </c>
      <c r="AF1" s="9" t="s">
        <v>43</v>
      </c>
      <c r="AG1" s="9" t="s">
        <v>44</v>
      </c>
      <c r="AH1" s="9" t="s">
        <v>45</v>
      </c>
      <c r="AI1" s="9" t="s">
        <v>46</v>
      </c>
      <c r="AJ1" s="9" t="s">
        <v>47</v>
      </c>
      <c r="AK1" s="9" t="s">
        <v>48</v>
      </c>
      <c r="AL1" s="9" t="s">
        <v>49</v>
      </c>
      <c r="AM1" s="9" t="s">
        <v>50</v>
      </c>
      <c r="AN1" s="9" t="s">
        <v>51</v>
      </c>
      <c r="AO1" s="9" t="s">
        <v>52</v>
      </c>
      <c r="AP1" s="9" t="s">
        <v>53</v>
      </c>
      <c r="AQ1" s="9" t="s">
        <v>54</v>
      </c>
      <c r="AR1" s="9" t="s">
        <v>55</v>
      </c>
      <c r="AS1" s="9" t="s">
        <v>56</v>
      </c>
      <c r="AT1" s="9" t="s">
        <v>57</v>
      </c>
      <c r="AU1" s="9" t="s">
        <v>58</v>
      </c>
      <c r="AV1" s="10" t="s">
        <v>59</v>
      </c>
      <c r="AW1" s="9" t="s">
        <v>60</v>
      </c>
      <c r="AX1" s="9" t="s">
        <v>61</v>
      </c>
      <c r="AY1" s="9" t="s">
        <v>62</v>
      </c>
      <c r="AZ1" s="10" t="s">
        <v>63</v>
      </c>
      <c r="BA1" s="9" t="s">
        <v>64</v>
      </c>
      <c r="BB1" s="9" t="s">
        <v>65</v>
      </c>
      <c r="BC1" s="9" t="s">
        <v>66</v>
      </c>
      <c r="BD1" s="9" t="s">
        <v>67</v>
      </c>
      <c r="BE1" s="10" t="s">
        <v>68</v>
      </c>
      <c r="BF1" s="9" t="s">
        <v>69</v>
      </c>
      <c r="BG1" s="10" t="s">
        <v>70</v>
      </c>
      <c r="BH1" s="9" t="s">
        <v>71</v>
      </c>
      <c r="BI1" s="9" t="s">
        <v>72</v>
      </c>
      <c r="BJ1" s="9" t="s">
        <v>73</v>
      </c>
      <c r="BK1" s="10" t="s">
        <v>74</v>
      </c>
      <c r="BL1" s="9" t="s">
        <v>75</v>
      </c>
      <c r="BM1" s="9" t="s">
        <v>76</v>
      </c>
      <c r="BN1" s="9" t="s">
        <v>77</v>
      </c>
      <c r="BO1" s="9" t="s">
        <v>78</v>
      </c>
      <c r="BP1" s="9" t="s">
        <v>79</v>
      </c>
      <c r="BQ1" s="10" t="s">
        <v>80</v>
      </c>
      <c r="BR1" s="9" t="s">
        <v>81</v>
      </c>
      <c r="BS1" s="9" t="s">
        <v>82</v>
      </c>
      <c r="BT1" s="9" t="s">
        <v>83</v>
      </c>
      <c r="BU1" s="9" t="s">
        <v>84</v>
      </c>
      <c r="BV1" s="9" t="s">
        <v>85</v>
      </c>
      <c r="BW1" s="9" t="s">
        <v>86</v>
      </c>
      <c r="BX1" s="9" t="s">
        <v>87</v>
      </c>
      <c r="BY1" s="9" t="s">
        <v>88</v>
      </c>
      <c r="BZ1" s="9" t="s">
        <v>89</v>
      </c>
      <c r="CA1" s="9" t="s">
        <v>90</v>
      </c>
      <c r="CB1" s="9" t="s">
        <v>91</v>
      </c>
      <c r="CC1" s="9" t="s">
        <v>92</v>
      </c>
      <c r="CD1" s="9" t="s">
        <v>93</v>
      </c>
      <c r="CE1" s="9" t="s">
        <v>94</v>
      </c>
      <c r="CF1" s="10" t="s">
        <v>95</v>
      </c>
      <c r="CG1" s="9" t="s">
        <v>96</v>
      </c>
      <c r="CH1" s="9" t="s">
        <v>97</v>
      </c>
      <c r="CI1" s="9" t="s">
        <v>98</v>
      </c>
      <c r="CJ1" s="9" t="s">
        <v>99</v>
      </c>
      <c r="CK1" s="9" t="s">
        <v>100</v>
      </c>
      <c r="CL1" s="9" t="s">
        <v>101</v>
      </c>
      <c r="CM1" s="10" t="s">
        <v>102</v>
      </c>
      <c r="CN1" s="9" t="s">
        <v>103</v>
      </c>
      <c r="CO1" s="9" t="s">
        <v>104</v>
      </c>
      <c r="CP1" s="9" t="s">
        <v>105</v>
      </c>
      <c r="CQ1" s="9" t="s">
        <v>106</v>
      </c>
      <c r="CR1" s="9" t="s">
        <v>107</v>
      </c>
      <c r="CS1" s="9" t="s">
        <v>108</v>
      </c>
      <c r="CT1" s="9" t="s">
        <v>109</v>
      </c>
      <c r="CU1" s="9" t="s">
        <v>110</v>
      </c>
      <c r="CV1" s="10" t="s">
        <v>111</v>
      </c>
      <c r="CW1" s="9" t="s">
        <v>112</v>
      </c>
      <c r="CX1" s="9" t="s">
        <v>113</v>
      </c>
      <c r="CY1" s="9" t="s">
        <v>114</v>
      </c>
      <c r="CZ1" s="9" t="s">
        <v>115</v>
      </c>
      <c r="DA1" s="9" t="s">
        <v>116</v>
      </c>
      <c r="DB1" s="9" t="s">
        <v>117</v>
      </c>
      <c r="DC1" s="9" t="s">
        <v>118</v>
      </c>
      <c r="DD1" s="9" t="s">
        <v>119</v>
      </c>
      <c r="DE1" s="9" t="s">
        <v>120</v>
      </c>
      <c r="DF1" s="9" t="s">
        <v>121</v>
      </c>
      <c r="DG1" s="9" t="s">
        <v>122</v>
      </c>
      <c r="DH1" s="9" t="s">
        <v>123</v>
      </c>
      <c r="DI1" s="10" t="s">
        <v>124</v>
      </c>
      <c r="DJ1" s="9" t="s">
        <v>125</v>
      </c>
      <c r="DK1" s="9" t="s">
        <v>126</v>
      </c>
      <c r="DL1" s="9" t="s">
        <v>127</v>
      </c>
      <c r="DM1" s="9" t="s">
        <v>128</v>
      </c>
      <c r="DN1" s="9" t="s">
        <v>129</v>
      </c>
      <c r="DO1" s="9" t="s">
        <v>130</v>
      </c>
      <c r="DP1" s="9" t="s">
        <v>131</v>
      </c>
      <c r="DQ1" s="9" t="s">
        <v>132</v>
      </c>
      <c r="DR1" s="9" t="s">
        <v>133</v>
      </c>
      <c r="DS1" s="9" t="s">
        <v>134</v>
      </c>
      <c r="DT1" s="9" t="s">
        <v>135</v>
      </c>
      <c r="DU1" s="9" t="s">
        <v>136</v>
      </c>
      <c r="DV1" s="9" t="s">
        <v>137</v>
      </c>
      <c r="DW1" s="9" t="s">
        <v>138</v>
      </c>
      <c r="DX1" s="9" t="s">
        <v>139</v>
      </c>
      <c r="DY1" s="9" t="s">
        <v>140</v>
      </c>
      <c r="DZ1" s="9" t="s">
        <v>141</v>
      </c>
      <c r="EA1" s="9" t="s">
        <v>142</v>
      </c>
      <c r="EB1" s="9" t="s">
        <v>143</v>
      </c>
      <c r="EC1" s="9" t="s">
        <v>144</v>
      </c>
      <c r="ED1" s="9" t="s">
        <v>145</v>
      </c>
      <c r="EE1" s="9" t="s">
        <v>146</v>
      </c>
      <c r="EF1" s="9" t="s">
        <v>147</v>
      </c>
      <c r="EG1" s="9" t="s">
        <v>148</v>
      </c>
      <c r="EH1" s="10" t="s">
        <v>149</v>
      </c>
      <c r="EI1" s="11" t="s">
        <v>150</v>
      </c>
    </row>
    <row r="2" spans="1:139" x14ac:dyDescent="0.25">
      <c r="A2" s="1">
        <v>107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0.01</v>
      </c>
      <c r="H2" s="2">
        <v>0</v>
      </c>
      <c r="I2" s="2">
        <v>0</v>
      </c>
      <c r="J2" s="5">
        <v>2.3760000000000003</v>
      </c>
      <c r="K2" s="2">
        <v>0</v>
      </c>
      <c r="L2" s="2">
        <v>0</v>
      </c>
      <c r="M2" s="2">
        <v>0</v>
      </c>
      <c r="N2" s="2">
        <v>0.01</v>
      </c>
      <c r="O2" s="2">
        <v>0</v>
      </c>
      <c r="P2" s="2">
        <v>0.01</v>
      </c>
      <c r="Q2" s="2">
        <v>0</v>
      </c>
      <c r="R2" s="2">
        <v>0.01</v>
      </c>
      <c r="S2" s="2">
        <v>0</v>
      </c>
      <c r="T2" s="2">
        <v>0</v>
      </c>
      <c r="U2" s="2">
        <v>0</v>
      </c>
      <c r="V2" s="5">
        <v>5.9760000000000009</v>
      </c>
      <c r="W2" s="5">
        <v>0.32799999999999996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5">
        <v>0.40800000000000003</v>
      </c>
      <c r="AI2" s="5">
        <v>0.70399999999999996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5">
        <v>2.2239999999999998</v>
      </c>
      <c r="AS2" s="2">
        <v>0.01</v>
      </c>
      <c r="AT2" s="2">
        <v>0</v>
      </c>
      <c r="AU2" s="5">
        <v>2.1040000000000001</v>
      </c>
      <c r="AV2" s="2">
        <v>0</v>
      </c>
      <c r="AW2" s="5">
        <v>0.34399999999999997</v>
      </c>
      <c r="AX2" s="5">
        <v>7.1999999999999995E-2</v>
      </c>
      <c r="AY2" s="2">
        <v>0.01</v>
      </c>
      <c r="AZ2" s="2">
        <v>0</v>
      </c>
      <c r="BA2" s="2">
        <v>0</v>
      </c>
      <c r="BB2" s="2">
        <v>0</v>
      </c>
      <c r="BC2" s="2">
        <v>0.01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0.01</v>
      </c>
      <c r="BS2" s="2">
        <v>0</v>
      </c>
      <c r="BT2" s="2">
        <v>0</v>
      </c>
      <c r="BU2" s="2">
        <v>0.01</v>
      </c>
      <c r="BV2" s="5">
        <v>13.624000000000001</v>
      </c>
      <c r="BW2" s="2">
        <v>0</v>
      </c>
      <c r="BX2" s="2">
        <v>0.01</v>
      </c>
      <c r="BY2" s="2">
        <v>0.01</v>
      </c>
      <c r="BZ2" s="2">
        <v>0.01</v>
      </c>
      <c r="CA2" s="2">
        <v>0</v>
      </c>
      <c r="CB2" s="2">
        <v>0.01</v>
      </c>
      <c r="CC2" s="2">
        <v>0</v>
      </c>
      <c r="CD2" s="2">
        <v>0</v>
      </c>
      <c r="CE2" s="2">
        <v>0</v>
      </c>
      <c r="CF2" s="2">
        <v>0</v>
      </c>
      <c r="CG2" s="5">
        <v>0.84800000000000009</v>
      </c>
      <c r="CH2" s="5">
        <v>0.04</v>
      </c>
      <c r="CI2" s="2">
        <v>0</v>
      </c>
      <c r="CJ2" s="5">
        <v>1.496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5">
        <v>0.57599999999999996</v>
      </c>
      <c r="CU2" s="2">
        <v>0</v>
      </c>
      <c r="CV2" s="2">
        <v>0</v>
      </c>
      <c r="CW2" s="5">
        <v>0.35199999999999998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0.88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0.01</v>
      </c>
      <c r="DM2" s="2">
        <v>0.01</v>
      </c>
      <c r="DN2" s="2">
        <v>0.01</v>
      </c>
      <c r="DO2" s="2">
        <v>0</v>
      </c>
      <c r="DP2" s="2">
        <v>0</v>
      </c>
      <c r="DQ2" s="2">
        <v>0</v>
      </c>
      <c r="DR2" s="5">
        <v>0.27199999999999996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0.01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</row>
    <row r="3" spans="1:139" x14ac:dyDescent="0.25">
      <c r="A3" s="1">
        <v>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0.01</v>
      </c>
      <c r="J3" s="2">
        <v>0.01</v>
      </c>
      <c r="K3" s="2">
        <v>0.01</v>
      </c>
      <c r="L3" s="2">
        <v>0</v>
      </c>
      <c r="M3" s="2">
        <v>0</v>
      </c>
      <c r="N3" s="2">
        <v>0</v>
      </c>
      <c r="O3" s="2">
        <v>0</v>
      </c>
      <c r="P3" s="2">
        <v>6.9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5.51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5">
        <v>0.28333333333333333</v>
      </c>
      <c r="AD3" s="2">
        <v>0.01</v>
      </c>
      <c r="AE3" s="2">
        <v>0.01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0.01</v>
      </c>
      <c r="AN3" s="2">
        <v>0</v>
      </c>
      <c r="AO3" s="2">
        <v>0</v>
      </c>
      <c r="AP3" s="2">
        <v>0</v>
      </c>
      <c r="AQ3" s="5">
        <v>1.8633333333333333</v>
      </c>
      <c r="AR3" s="2">
        <v>0</v>
      </c>
      <c r="AS3" s="2">
        <v>0.01</v>
      </c>
      <c r="AT3" s="2">
        <v>0</v>
      </c>
      <c r="AU3" s="2">
        <v>12.54</v>
      </c>
      <c r="AV3" s="2">
        <v>0</v>
      </c>
      <c r="AW3" s="2">
        <v>0</v>
      </c>
      <c r="AX3" s="2">
        <v>0.01</v>
      </c>
      <c r="AY3" s="2">
        <v>0.01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0.01</v>
      </c>
      <c r="BU3" s="5">
        <v>4.333333333333333</v>
      </c>
      <c r="BV3" s="5">
        <v>4.1133333333333333</v>
      </c>
      <c r="BW3" s="2">
        <v>0</v>
      </c>
      <c r="BX3" s="2">
        <v>0</v>
      </c>
      <c r="BY3" s="2">
        <v>0.77</v>
      </c>
      <c r="BZ3" s="2">
        <v>0.17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5">
        <v>0.62333333333333341</v>
      </c>
      <c r="CH3" s="2">
        <v>0</v>
      </c>
      <c r="CI3" s="2">
        <v>0</v>
      </c>
      <c r="CJ3" s="2">
        <v>0.01</v>
      </c>
      <c r="CK3" s="2">
        <v>0</v>
      </c>
      <c r="CL3" s="2">
        <v>0</v>
      </c>
      <c r="CM3" s="2">
        <v>0</v>
      </c>
      <c r="CN3" s="2">
        <v>0</v>
      </c>
      <c r="CO3" s="2">
        <v>0.01</v>
      </c>
      <c r="CP3" s="2">
        <v>0</v>
      </c>
      <c r="CQ3" s="2">
        <v>0</v>
      </c>
      <c r="CR3" s="2">
        <v>0</v>
      </c>
      <c r="CS3" s="2">
        <v>0</v>
      </c>
      <c r="CT3" s="2">
        <v>0.01</v>
      </c>
      <c r="CU3" s="2">
        <v>0.36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0.01</v>
      </c>
      <c r="DB3" s="2">
        <v>0</v>
      </c>
      <c r="DC3" s="2">
        <v>0.01</v>
      </c>
      <c r="DD3" s="2">
        <v>0</v>
      </c>
      <c r="DE3" s="2">
        <v>0</v>
      </c>
      <c r="DF3" s="2">
        <v>0.01</v>
      </c>
      <c r="DG3" s="2">
        <v>0</v>
      </c>
      <c r="DH3" s="2">
        <v>0.01</v>
      </c>
      <c r="DI3" s="2">
        <v>0</v>
      </c>
      <c r="DJ3" s="2">
        <v>0</v>
      </c>
      <c r="DK3" s="2">
        <v>0.01</v>
      </c>
      <c r="DL3" s="2">
        <v>0</v>
      </c>
      <c r="DM3" s="2">
        <v>0.01</v>
      </c>
      <c r="DN3" s="2">
        <v>0</v>
      </c>
      <c r="DO3" s="2">
        <v>0.01</v>
      </c>
      <c r="DP3" s="5">
        <v>0.27666666666666667</v>
      </c>
      <c r="DQ3" s="2">
        <v>0.01</v>
      </c>
      <c r="DR3" s="2">
        <v>0.01</v>
      </c>
      <c r="DS3" s="2">
        <v>0</v>
      </c>
      <c r="DT3" s="2">
        <v>0</v>
      </c>
      <c r="DU3" s="2">
        <v>0</v>
      </c>
      <c r="DV3" s="2">
        <v>0.01</v>
      </c>
      <c r="DW3" s="2">
        <v>0</v>
      </c>
      <c r="DX3" s="2">
        <v>0</v>
      </c>
      <c r="DY3" s="2">
        <v>0.01</v>
      </c>
      <c r="DZ3" s="2">
        <v>0.01</v>
      </c>
      <c r="EA3" s="2">
        <v>0</v>
      </c>
      <c r="EB3" s="2">
        <v>0</v>
      </c>
      <c r="EC3" s="2">
        <v>0.01</v>
      </c>
      <c r="ED3" s="2">
        <v>0.01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</row>
    <row r="4" spans="1:139" x14ac:dyDescent="0.25">
      <c r="A4" s="1">
        <v>130</v>
      </c>
      <c r="B4" s="2">
        <v>0</v>
      </c>
      <c r="C4" s="2">
        <v>0.01</v>
      </c>
      <c r="D4" s="2">
        <v>0</v>
      </c>
      <c r="E4" s="2">
        <v>0.01</v>
      </c>
      <c r="F4" s="2">
        <v>0</v>
      </c>
      <c r="G4" s="5">
        <v>7.1999999999999995E-2</v>
      </c>
      <c r="H4" s="2">
        <v>0.01</v>
      </c>
      <c r="I4" s="2">
        <v>0.01</v>
      </c>
      <c r="J4" s="5">
        <v>3.32</v>
      </c>
      <c r="K4" s="5">
        <v>0.21600000000000003</v>
      </c>
      <c r="L4" s="2">
        <v>0</v>
      </c>
      <c r="M4" s="2">
        <v>0</v>
      </c>
      <c r="N4" s="5">
        <v>0.14399999999999999</v>
      </c>
      <c r="O4" s="2">
        <v>0</v>
      </c>
      <c r="P4" s="2">
        <v>0</v>
      </c>
      <c r="Q4" s="2">
        <v>0.01</v>
      </c>
      <c r="R4" s="5">
        <v>0.35199999999999998</v>
      </c>
      <c r="S4" s="5">
        <v>0.77600000000000002</v>
      </c>
      <c r="T4" s="2">
        <v>0</v>
      </c>
      <c r="U4" s="2">
        <v>0.01</v>
      </c>
      <c r="V4" s="5">
        <v>2.7679999999999998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5">
        <v>1.9920000000000002</v>
      </c>
      <c r="AC4" s="5">
        <v>2.6719999999999997</v>
      </c>
      <c r="AD4" s="2">
        <v>0.01</v>
      </c>
      <c r="AE4" s="2">
        <v>0.04</v>
      </c>
      <c r="AF4" s="2">
        <v>0</v>
      </c>
      <c r="AG4" s="2">
        <v>0</v>
      </c>
      <c r="AH4" s="2">
        <v>0</v>
      </c>
      <c r="AI4" s="2">
        <v>0.01</v>
      </c>
      <c r="AJ4" s="2">
        <v>0</v>
      </c>
      <c r="AK4" s="2">
        <v>0.01</v>
      </c>
      <c r="AL4" s="2">
        <v>0</v>
      </c>
      <c r="AM4" s="5">
        <v>0.25600000000000001</v>
      </c>
      <c r="AN4" s="2">
        <v>0</v>
      </c>
      <c r="AO4" s="2">
        <v>2.6</v>
      </c>
      <c r="AP4" s="2">
        <v>0.01</v>
      </c>
      <c r="AQ4" s="2">
        <v>0</v>
      </c>
      <c r="AR4" s="2">
        <v>0</v>
      </c>
      <c r="AS4" s="2">
        <v>0.01</v>
      </c>
      <c r="AT4" s="2">
        <v>0</v>
      </c>
      <c r="AU4" s="2">
        <v>0</v>
      </c>
      <c r="AV4" s="2">
        <v>0</v>
      </c>
      <c r="AW4" s="5">
        <v>3.2000000000000001E-2</v>
      </c>
      <c r="AX4" s="2">
        <v>0.01</v>
      </c>
      <c r="AY4" s="2">
        <v>0</v>
      </c>
      <c r="AZ4" s="2">
        <v>0</v>
      </c>
      <c r="BA4" s="2">
        <v>0</v>
      </c>
      <c r="BB4" s="2">
        <v>0</v>
      </c>
      <c r="BC4" s="5">
        <v>0.14399999999999999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0.01</v>
      </c>
      <c r="BU4" s="2">
        <v>0</v>
      </c>
      <c r="BV4" s="2">
        <v>0.01</v>
      </c>
      <c r="BW4" s="2">
        <v>0</v>
      </c>
      <c r="BX4" s="2">
        <v>0</v>
      </c>
      <c r="BY4" s="5">
        <v>0.26400000000000001</v>
      </c>
      <c r="BZ4" s="5">
        <v>1.024</v>
      </c>
      <c r="CA4" s="5">
        <v>0.79200000000000004</v>
      </c>
      <c r="CB4" s="5">
        <v>0.91200000000000014</v>
      </c>
      <c r="CC4" s="2">
        <v>0</v>
      </c>
      <c r="CD4" s="2">
        <v>0.01</v>
      </c>
      <c r="CE4" s="2">
        <v>0</v>
      </c>
      <c r="CF4" s="2">
        <v>0</v>
      </c>
      <c r="CG4" s="5">
        <v>0.32640000000000002</v>
      </c>
      <c r="CH4" s="2">
        <v>0.01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0.84</v>
      </c>
      <c r="CR4" s="2">
        <v>0</v>
      </c>
      <c r="CS4" s="2">
        <v>0</v>
      </c>
      <c r="CT4" s="2">
        <v>0.01</v>
      </c>
      <c r="CU4" s="2">
        <v>0.01</v>
      </c>
      <c r="CV4" s="2">
        <v>0.01</v>
      </c>
      <c r="CW4" s="5">
        <v>0.61599999999999999</v>
      </c>
      <c r="CX4" s="2">
        <v>0.01</v>
      </c>
      <c r="CY4" s="2">
        <v>0.01</v>
      </c>
      <c r="CZ4" s="5">
        <v>8.0000000000000002E-3</v>
      </c>
      <c r="DA4" s="2">
        <v>0.01</v>
      </c>
      <c r="DB4" s="2">
        <v>0.01</v>
      </c>
      <c r="DC4" s="2">
        <v>0.01</v>
      </c>
      <c r="DD4" s="2">
        <v>0.01</v>
      </c>
      <c r="DE4" s="5">
        <v>7.1999999999999998E-3</v>
      </c>
      <c r="DF4" s="5">
        <v>2.1680000000000001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5">
        <v>1.6E-2</v>
      </c>
      <c r="DN4" s="2">
        <v>0</v>
      </c>
      <c r="DO4" s="2">
        <v>0</v>
      </c>
      <c r="DP4" s="5">
        <v>0.128</v>
      </c>
      <c r="DQ4" s="5">
        <v>0.85600000000000009</v>
      </c>
      <c r="DR4" s="5">
        <v>0.14399999999999999</v>
      </c>
      <c r="DS4" s="2">
        <v>0</v>
      </c>
      <c r="DT4" s="2">
        <v>0</v>
      </c>
      <c r="DU4" s="2">
        <v>0</v>
      </c>
      <c r="DV4" s="2">
        <v>0.01</v>
      </c>
      <c r="DW4" s="2">
        <v>0</v>
      </c>
      <c r="DX4" s="2">
        <v>0.01</v>
      </c>
      <c r="DY4" s="5">
        <v>0.44720000000000004</v>
      </c>
      <c r="DZ4" s="2">
        <v>0</v>
      </c>
      <c r="EA4" s="2">
        <v>0</v>
      </c>
      <c r="EB4" s="2">
        <v>0</v>
      </c>
      <c r="EC4" s="5">
        <v>8.7999999999999995E-2</v>
      </c>
      <c r="ED4" s="5">
        <v>0.1976</v>
      </c>
      <c r="EE4" s="2">
        <v>0</v>
      </c>
      <c r="EF4" s="5">
        <v>0.11200000000000002</v>
      </c>
      <c r="EG4" s="2">
        <v>0</v>
      </c>
      <c r="EH4" s="2">
        <v>0</v>
      </c>
      <c r="EI4" s="2">
        <v>0</v>
      </c>
    </row>
    <row r="5" spans="1:139" x14ac:dyDescent="0.25">
      <c r="A5" s="1">
        <v>115</v>
      </c>
      <c r="B5" s="3">
        <v>1.5384615384615385E-3</v>
      </c>
      <c r="C5" s="2">
        <v>0.01</v>
      </c>
      <c r="D5" s="2">
        <v>0.01</v>
      </c>
      <c r="E5" s="2">
        <v>0.01</v>
      </c>
      <c r="F5" s="2">
        <v>0.01</v>
      </c>
      <c r="G5" s="5">
        <v>5.0384615384615383</v>
      </c>
      <c r="H5" s="2">
        <v>0</v>
      </c>
      <c r="I5" s="2">
        <v>0</v>
      </c>
      <c r="J5" s="5">
        <v>4.3584615384615386</v>
      </c>
      <c r="K5" s="5">
        <v>0.36153846153846153</v>
      </c>
      <c r="L5" s="2">
        <v>0</v>
      </c>
      <c r="M5" s="2">
        <v>0</v>
      </c>
      <c r="N5" s="5">
        <v>0.74923076923076926</v>
      </c>
      <c r="O5" s="2">
        <v>0.01</v>
      </c>
      <c r="P5" s="2">
        <v>0</v>
      </c>
      <c r="Q5" s="2">
        <v>0.01</v>
      </c>
      <c r="R5" s="5">
        <v>0.79230769230769227</v>
      </c>
      <c r="S5" s="2">
        <v>0</v>
      </c>
      <c r="T5" s="2">
        <v>0</v>
      </c>
      <c r="U5" s="2">
        <v>0.01</v>
      </c>
      <c r="V5" s="5">
        <v>16.164615384615384</v>
      </c>
      <c r="W5" s="2">
        <v>0</v>
      </c>
      <c r="X5" s="5">
        <v>0.89230769230769247</v>
      </c>
      <c r="Y5" s="2">
        <v>0</v>
      </c>
      <c r="Z5" s="2">
        <v>0</v>
      </c>
      <c r="AA5" s="2">
        <v>0.01</v>
      </c>
      <c r="AB5" s="2">
        <v>0</v>
      </c>
      <c r="AC5" s="2">
        <v>13.52</v>
      </c>
      <c r="AD5" s="2">
        <v>0</v>
      </c>
      <c r="AE5" s="5">
        <v>0.63538461538461555</v>
      </c>
      <c r="AF5" s="2">
        <v>0</v>
      </c>
      <c r="AG5" s="2">
        <v>0</v>
      </c>
      <c r="AH5" s="2">
        <v>0</v>
      </c>
      <c r="AI5" s="5">
        <v>6.9230769230769235E-2</v>
      </c>
      <c r="AJ5" s="2">
        <v>0.01</v>
      </c>
      <c r="AK5" s="5">
        <v>9.2307692307692299E-2</v>
      </c>
      <c r="AL5" s="3">
        <v>1.5384615384615385E-3</v>
      </c>
      <c r="AM5" s="5">
        <v>9.0769230769230783E-2</v>
      </c>
      <c r="AN5" s="2">
        <v>0</v>
      </c>
      <c r="AO5" s="5">
        <v>0.14769230769230768</v>
      </c>
      <c r="AP5" s="5">
        <v>3.0769230769230771E-2</v>
      </c>
      <c r="AQ5" s="2">
        <v>0</v>
      </c>
      <c r="AR5" s="2">
        <v>0</v>
      </c>
      <c r="AS5" s="2">
        <v>0</v>
      </c>
      <c r="AT5" s="2">
        <v>0</v>
      </c>
      <c r="AU5" s="5">
        <v>3.006153846153846</v>
      </c>
      <c r="AV5" s="2">
        <v>0</v>
      </c>
      <c r="AW5" s="5">
        <v>0.33846153846153854</v>
      </c>
      <c r="AX5" s="2">
        <v>0.22</v>
      </c>
      <c r="AY5" s="2">
        <v>0.01</v>
      </c>
      <c r="AZ5" s="2">
        <v>0</v>
      </c>
      <c r="BA5" s="5">
        <v>4.6153846153846163E-2</v>
      </c>
      <c r="BB5" s="5">
        <v>2.923076923076923E-2</v>
      </c>
      <c r="BC5" s="5">
        <v>0.16307692307692309</v>
      </c>
      <c r="BD5" s="5">
        <v>0.38615384615384613</v>
      </c>
      <c r="BE5" s="2">
        <v>0</v>
      </c>
      <c r="BF5" s="5">
        <v>0.10461538461538461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0.1</v>
      </c>
      <c r="BM5" s="5">
        <v>9.5384615384615401E-2</v>
      </c>
      <c r="BN5" s="2">
        <v>0</v>
      </c>
      <c r="BO5" s="2">
        <v>0</v>
      </c>
      <c r="BP5" s="2">
        <v>0</v>
      </c>
      <c r="BQ5" s="2">
        <v>0</v>
      </c>
      <c r="BR5" s="2">
        <v>0.01</v>
      </c>
      <c r="BS5" s="2">
        <v>0</v>
      </c>
      <c r="BT5" s="2">
        <v>0.01</v>
      </c>
      <c r="BU5" s="2">
        <v>0</v>
      </c>
      <c r="BV5" s="2">
        <v>0</v>
      </c>
      <c r="BW5" s="2">
        <v>0</v>
      </c>
      <c r="BX5" s="2">
        <v>0</v>
      </c>
      <c r="BY5" s="5">
        <v>4.7692307692307701E-2</v>
      </c>
      <c r="BZ5" s="5">
        <v>0.27846153846153848</v>
      </c>
      <c r="CA5" s="2">
        <v>0.01</v>
      </c>
      <c r="CB5" s="5">
        <v>0.6676923076923077</v>
      </c>
      <c r="CC5" s="2">
        <v>0</v>
      </c>
      <c r="CD5" s="2">
        <v>0</v>
      </c>
      <c r="CE5" s="5">
        <v>0.86153846153846159</v>
      </c>
      <c r="CF5" s="2">
        <v>0</v>
      </c>
      <c r="CG5" s="2">
        <v>0.01</v>
      </c>
      <c r="CH5" s="5">
        <v>2.923076923076923E-2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5">
        <v>0.59692307692307689</v>
      </c>
      <c r="CU5" s="3">
        <v>1.5384615384615385E-3</v>
      </c>
      <c r="CV5" s="2">
        <v>0</v>
      </c>
      <c r="CW5" s="5">
        <v>0.74307692307692308</v>
      </c>
      <c r="CX5" s="5">
        <v>0.35538461538461541</v>
      </c>
      <c r="CY5" s="5">
        <v>0.60923076923076924</v>
      </c>
      <c r="CZ5" s="5">
        <v>1.0553846153846154</v>
      </c>
      <c r="DA5" s="5">
        <v>1.5384615384615385E-2</v>
      </c>
      <c r="DB5" s="2">
        <v>0.01</v>
      </c>
      <c r="DC5" s="5">
        <v>1.3384615384615384E-2</v>
      </c>
      <c r="DD5" s="2">
        <v>0.01</v>
      </c>
      <c r="DE5" s="2">
        <v>0</v>
      </c>
      <c r="DF5" s="2">
        <v>0.2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5">
        <v>1.0184615384615383</v>
      </c>
      <c r="DN5" s="2">
        <v>0</v>
      </c>
      <c r="DO5" s="5">
        <v>3.0769230769230771E-2</v>
      </c>
      <c r="DP5" s="5">
        <v>0.4646153846153846</v>
      </c>
      <c r="DQ5" s="2">
        <v>0</v>
      </c>
      <c r="DR5" s="5">
        <v>0.11538461538461539</v>
      </c>
      <c r="DS5" s="2">
        <v>0</v>
      </c>
      <c r="DT5" s="2">
        <v>0.56000000000000005</v>
      </c>
      <c r="DU5" s="2">
        <v>0</v>
      </c>
      <c r="DV5" s="2">
        <v>0.01</v>
      </c>
      <c r="DW5" s="2">
        <v>0</v>
      </c>
      <c r="DX5" s="2">
        <v>0</v>
      </c>
      <c r="DY5" s="5">
        <v>0.11230769230769232</v>
      </c>
      <c r="DZ5" s="2">
        <v>0</v>
      </c>
      <c r="EA5" s="2">
        <v>0</v>
      </c>
      <c r="EB5" s="5">
        <v>3.0769230769230771E-2</v>
      </c>
      <c r="EC5" s="5">
        <v>1.5384615384615385E-2</v>
      </c>
      <c r="ED5" s="2">
        <v>0</v>
      </c>
      <c r="EE5" s="5">
        <v>0.01</v>
      </c>
      <c r="EF5" s="2">
        <v>0</v>
      </c>
      <c r="EG5" s="2">
        <v>0</v>
      </c>
      <c r="EH5" s="2">
        <v>0</v>
      </c>
      <c r="EI5" s="2">
        <v>0.01</v>
      </c>
    </row>
    <row r="6" spans="1:139" x14ac:dyDescent="0.25">
      <c r="A6" s="1">
        <v>111</v>
      </c>
      <c r="B6" s="2">
        <v>0</v>
      </c>
      <c r="C6" s="2">
        <v>2.5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2.95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0.9</v>
      </c>
      <c r="S6" s="2">
        <v>5.67</v>
      </c>
      <c r="T6" s="2">
        <v>0</v>
      </c>
      <c r="U6" s="2">
        <v>0</v>
      </c>
      <c r="V6" s="2">
        <v>18.73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12.79</v>
      </c>
      <c r="AD6" s="2">
        <v>0.01</v>
      </c>
      <c r="AE6" s="2">
        <v>0</v>
      </c>
      <c r="AF6" s="2">
        <v>0</v>
      </c>
      <c r="AG6" s="2">
        <v>0</v>
      </c>
      <c r="AH6" s="2">
        <v>0</v>
      </c>
      <c r="AI6" s="2">
        <v>0.01</v>
      </c>
      <c r="AJ6" s="2">
        <v>0</v>
      </c>
      <c r="AK6" s="2">
        <v>0.01</v>
      </c>
      <c r="AL6" s="2">
        <v>0</v>
      </c>
      <c r="AM6" s="2">
        <v>0</v>
      </c>
      <c r="AN6" s="2">
        <v>0</v>
      </c>
      <c r="AO6" s="2">
        <v>2.23</v>
      </c>
      <c r="AP6" s="2">
        <v>0.06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0.01</v>
      </c>
      <c r="AX6" s="2">
        <v>0.38</v>
      </c>
      <c r="AY6" s="2">
        <v>0.01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0.17</v>
      </c>
      <c r="BM6" s="2">
        <v>0.18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0.01</v>
      </c>
      <c r="BU6" s="2">
        <v>0</v>
      </c>
      <c r="BV6" s="2">
        <v>0</v>
      </c>
      <c r="BW6" s="2">
        <v>0</v>
      </c>
      <c r="BX6" s="2">
        <v>0</v>
      </c>
      <c r="BY6" s="2">
        <v>0.05</v>
      </c>
      <c r="BZ6" s="2">
        <v>0.12</v>
      </c>
      <c r="CA6" s="2">
        <v>0.01</v>
      </c>
      <c r="CB6" s="2">
        <v>0.9</v>
      </c>
      <c r="CC6" s="2">
        <v>0</v>
      </c>
      <c r="CD6" s="2">
        <v>0</v>
      </c>
      <c r="CE6" s="2">
        <v>0.95</v>
      </c>
      <c r="CF6" s="2">
        <v>0</v>
      </c>
      <c r="CG6" s="2">
        <v>0</v>
      </c>
      <c r="CH6" s="2">
        <v>0.01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0.01</v>
      </c>
      <c r="CQ6" s="2">
        <v>0</v>
      </c>
      <c r="CR6" s="2">
        <v>0</v>
      </c>
      <c r="CS6" s="2">
        <v>0</v>
      </c>
      <c r="CT6" s="2">
        <v>0</v>
      </c>
      <c r="CU6" s="2">
        <v>0.2</v>
      </c>
      <c r="CV6" s="2">
        <v>0</v>
      </c>
      <c r="CW6" s="2">
        <v>1.02</v>
      </c>
      <c r="CX6" s="2">
        <v>1.8</v>
      </c>
      <c r="CY6" s="2">
        <v>0.01</v>
      </c>
      <c r="CZ6" s="2">
        <v>7.0000000000000007E-2</v>
      </c>
      <c r="DA6" s="2">
        <v>0.01</v>
      </c>
      <c r="DB6" s="2">
        <v>0</v>
      </c>
      <c r="DC6" s="2">
        <v>0.01</v>
      </c>
      <c r="DD6" s="2">
        <v>0.01</v>
      </c>
      <c r="DE6" s="2">
        <v>0</v>
      </c>
      <c r="DF6" s="2">
        <v>1.02</v>
      </c>
      <c r="DG6" s="2">
        <v>0</v>
      </c>
      <c r="DH6" s="2">
        <v>2.1</v>
      </c>
      <c r="DI6" s="2">
        <v>0</v>
      </c>
      <c r="DJ6" s="2">
        <v>0</v>
      </c>
      <c r="DK6" s="2">
        <v>0</v>
      </c>
      <c r="DL6" s="2">
        <v>0</v>
      </c>
      <c r="DM6" s="2">
        <v>0.3</v>
      </c>
      <c r="DN6" s="2">
        <v>2.2799999999999998</v>
      </c>
      <c r="DO6" s="2">
        <v>0.01</v>
      </c>
      <c r="DP6" s="2">
        <v>0.64</v>
      </c>
      <c r="DQ6" s="2">
        <v>0.01</v>
      </c>
      <c r="DR6" s="2">
        <v>0</v>
      </c>
      <c r="DS6" s="2">
        <v>0</v>
      </c>
      <c r="DT6" s="2">
        <v>0.45</v>
      </c>
      <c r="DU6" s="2">
        <v>0</v>
      </c>
      <c r="DV6" s="2">
        <v>0</v>
      </c>
      <c r="DW6" s="2">
        <v>0</v>
      </c>
      <c r="DX6" s="2">
        <v>0</v>
      </c>
      <c r="DY6" s="2">
        <v>0.18</v>
      </c>
      <c r="DZ6" s="2">
        <v>0.01</v>
      </c>
      <c r="EA6" s="2">
        <v>0</v>
      </c>
      <c r="EB6" s="2">
        <v>0</v>
      </c>
      <c r="EC6" s="2">
        <v>0.02</v>
      </c>
      <c r="ED6" s="2">
        <v>0.01</v>
      </c>
      <c r="EE6" s="2">
        <v>0</v>
      </c>
      <c r="EF6" s="2">
        <v>0.01</v>
      </c>
      <c r="EG6" s="2">
        <v>0.01</v>
      </c>
      <c r="EH6" s="2">
        <v>0</v>
      </c>
      <c r="EI6" s="2">
        <v>0</v>
      </c>
    </row>
    <row r="7" spans="1:139" x14ac:dyDescent="0.25">
      <c r="A7" s="1">
        <v>120</v>
      </c>
      <c r="B7" s="2">
        <v>0</v>
      </c>
      <c r="C7" s="5">
        <v>1.3460000000000001</v>
      </c>
      <c r="D7" s="2">
        <v>0</v>
      </c>
      <c r="E7" s="2">
        <v>0</v>
      </c>
      <c r="F7" s="2">
        <v>0</v>
      </c>
      <c r="G7" s="2">
        <v>0.18</v>
      </c>
      <c r="H7" s="2">
        <v>0</v>
      </c>
      <c r="I7" s="2">
        <v>0</v>
      </c>
      <c r="J7" s="5">
        <v>1.2079999999999997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1.63</v>
      </c>
      <c r="T7" s="2">
        <v>0</v>
      </c>
      <c r="U7" s="2">
        <v>0</v>
      </c>
      <c r="V7" s="2">
        <v>20.75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11.47</v>
      </c>
      <c r="AD7" s="2">
        <v>0.06</v>
      </c>
      <c r="AE7" s="2">
        <v>0.26</v>
      </c>
      <c r="AF7" s="2">
        <v>0</v>
      </c>
      <c r="AG7" s="2">
        <v>0</v>
      </c>
      <c r="AH7" s="2">
        <v>0</v>
      </c>
      <c r="AI7" s="2">
        <v>0.01</v>
      </c>
      <c r="AJ7" s="2">
        <v>0</v>
      </c>
      <c r="AK7" s="2">
        <v>0.01</v>
      </c>
      <c r="AL7" s="2">
        <v>0</v>
      </c>
      <c r="AM7" s="2">
        <v>0.12</v>
      </c>
      <c r="AN7" s="2">
        <v>0</v>
      </c>
      <c r="AO7" s="2">
        <v>0</v>
      </c>
      <c r="AP7" s="2">
        <v>7.0000000000000007E-2</v>
      </c>
      <c r="AQ7" s="2">
        <v>0</v>
      </c>
      <c r="AR7" s="2">
        <v>0</v>
      </c>
      <c r="AS7" s="2">
        <v>0</v>
      </c>
      <c r="AT7" s="2">
        <v>0</v>
      </c>
      <c r="AU7" s="5">
        <v>0.11599999999999999</v>
      </c>
      <c r="AV7" s="2">
        <v>0</v>
      </c>
      <c r="AW7" s="2">
        <v>0.01</v>
      </c>
      <c r="AX7" s="2">
        <v>0.03</v>
      </c>
      <c r="AY7" s="2">
        <v>0</v>
      </c>
      <c r="AZ7" s="2">
        <v>0</v>
      </c>
      <c r="BA7" s="5">
        <v>0.27</v>
      </c>
      <c r="BB7" s="5">
        <v>1.6E-2</v>
      </c>
      <c r="BC7" s="5">
        <v>0.04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0.01</v>
      </c>
      <c r="BM7" s="5">
        <v>0.16600000000000001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5">
        <v>0.152</v>
      </c>
      <c r="BU7" s="2">
        <v>0</v>
      </c>
      <c r="BV7" s="2">
        <v>0</v>
      </c>
      <c r="BW7" s="2">
        <v>0</v>
      </c>
      <c r="BX7" s="2">
        <v>0</v>
      </c>
      <c r="BY7" s="5">
        <v>0.122</v>
      </c>
      <c r="BZ7" s="2">
        <v>0.15</v>
      </c>
      <c r="CA7" s="2">
        <v>0</v>
      </c>
      <c r="CB7" s="5">
        <v>0.41200000000000003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7.0000000000000007E-2</v>
      </c>
      <c r="CU7" s="5">
        <v>0.72399999999999998</v>
      </c>
      <c r="CV7" s="2">
        <v>0</v>
      </c>
      <c r="CW7" s="2">
        <v>0</v>
      </c>
      <c r="CX7" s="2">
        <v>0.01</v>
      </c>
      <c r="CY7" s="2">
        <v>0.01</v>
      </c>
      <c r="CZ7" s="2">
        <v>0.08</v>
      </c>
      <c r="DA7" s="2">
        <v>0.01</v>
      </c>
      <c r="DB7" s="2">
        <v>0</v>
      </c>
      <c r="DC7" s="2">
        <v>0.02</v>
      </c>
      <c r="DD7" s="2">
        <v>0</v>
      </c>
      <c r="DE7" s="2">
        <v>0</v>
      </c>
      <c r="DF7" s="5">
        <v>1.0359999999999998</v>
      </c>
      <c r="DG7" s="2">
        <v>0</v>
      </c>
      <c r="DH7" s="2">
        <v>0.7</v>
      </c>
      <c r="DI7" s="2">
        <v>0</v>
      </c>
      <c r="DJ7" s="2">
        <v>1.1399999999999999</v>
      </c>
      <c r="DK7" s="2">
        <v>0</v>
      </c>
      <c r="DL7" s="2">
        <v>0</v>
      </c>
      <c r="DM7" s="5">
        <v>3.7999999999999999E-2</v>
      </c>
      <c r="DN7" s="2">
        <v>0</v>
      </c>
      <c r="DO7" s="2">
        <v>0.01</v>
      </c>
      <c r="DP7" s="2">
        <v>0</v>
      </c>
      <c r="DQ7" s="5">
        <v>2.4520000000000004</v>
      </c>
      <c r="DR7" s="5">
        <v>0.13200000000000001</v>
      </c>
      <c r="DS7" s="2">
        <v>0</v>
      </c>
      <c r="DT7" s="5">
        <v>0.60199999999999998</v>
      </c>
      <c r="DU7" s="2">
        <v>0</v>
      </c>
      <c r="DV7" s="2">
        <v>5.14</v>
      </c>
      <c r="DW7" s="2">
        <v>0</v>
      </c>
      <c r="DX7" s="5">
        <v>2.5880000000000001</v>
      </c>
      <c r="DY7" s="5">
        <v>0.03</v>
      </c>
      <c r="DZ7" s="2">
        <v>0</v>
      </c>
      <c r="EA7" s="2">
        <v>0</v>
      </c>
      <c r="EB7" s="2">
        <v>0</v>
      </c>
      <c r="EC7" s="5">
        <v>9.799999999999999E-2</v>
      </c>
      <c r="ED7" s="2">
        <v>0</v>
      </c>
      <c r="EE7" s="2">
        <v>0</v>
      </c>
      <c r="EF7" s="2">
        <v>0</v>
      </c>
      <c r="EG7" s="2">
        <v>0.01</v>
      </c>
      <c r="EH7" s="2">
        <v>0</v>
      </c>
      <c r="EI7" s="2">
        <v>0.01</v>
      </c>
    </row>
    <row r="8" spans="1:139" x14ac:dyDescent="0.25">
      <c r="A8" s="1">
        <v>57</v>
      </c>
      <c r="B8" s="2">
        <v>0</v>
      </c>
      <c r="C8" s="5">
        <v>6.0782608695652183</v>
      </c>
      <c r="D8" s="2">
        <v>0</v>
      </c>
      <c r="E8" s="2">
        <v>0</v>
      </c>
      <c r="F8" s="2">
        <v>0</v>
      </c>
      <c r="G8" s="5">
        <v>1.5669565217391301</v>
      </c>
      <c r="H8" s="2">
        <v>0</v>
      </c>
      <c r="I8" s="5">
        <v>4.869565217391305E-2</v>
      </c>
      <c r="J8" s="5">
        <v>2.5130434782608693</v>
      </c>
      <c r="K8" s="5">
        <v>3.6869565217391309</v>
      </c>
      <c r="L8" s="2">
        <v>0</v>
      </c>
      <c r="M8" s="2">
        <v>0</v>
      </c>
      <c r="N8" s="5">
        <v>0.59478260869565214</v>
      </c>
      <c r="O8" s="2">
        <v>0</v>
      </c>
      <c r="P8" s="2">
        <v>0</v>
      </c>
      <c r="Q8" s="2">
        <v>0</v>
      </c>
      <c r="R8" s="5">
        <v>0.43304347826086953</v>
      </c>
      <c r="S8" s="5">
        <v>3.6243478260869573</v>
      </c>
      <c r="T8" s="2">
        <v>0</v>
      </c>
      <c r="U8" s="2">
        <v>0</v>
      </c>
      <c r="V8" s="5">
        <v>5.1286956521739127</v>
      </c>
      <c r="W8" s="2">
        <v>0</v>
      </c>
      <c r="X8" s="2">
        <v>0</v>
      </c>
      <c r="Y8" s="5">
        <v>0.01</v>
      </c>
      <c r="Z8" s="2">
        <v>0</v>
      </c>
      <c r="AA8" s="5">
        <v>0.27478260869565219</v>
      </c>
      <c r="AB8" s="5">
        <v>2.7165217391304348</v>
      </c>
      <c r="AC8" s="5">
        <v>6.6921739130434785</v>
      </c>
      <c r="AD8" s="5">
        <v>5.7095652173913027</v>
      </c>
      <c r="AE8" s="5">
        <v>0.15130434782608698</v>
      </c>
      <c r="AF8" s="2">
        <v>0</v>
      </c>
      <c r="AG8" s="2">
        <v>0</v>
      </c>
      <c r="AH8" s="2">
        <v>0</v>
      </c>
      <c r="AI8" s="5">
        <v>7.4782608695652175E-2</v>
      </c>
      <c r="AJ8" s="2">
        <v>0</v>
      </c>
      <c r="AK8" s="2">
        <v>0.01</v>
      </c>
      <c r="AL8" s="2">
        <v>0</v>
      </c>
      <c r="AM8" s="5">
        <v>8.5217391304347828E-2</v>
      </c>
      <c r="AN8" s="2">
        <v>0</v>
      </c>
      <c r="AO8" s="5">
        <v>0.70782608695652161</v>
      </c>
      <c r="AP8" s="5">
        <v>0.85739130434782607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0.01</v>
      </c>
      <c r="AW8" s="5">
        <v>23.949565217391299</v>
      </c>
      <c r="AX8" s="5">
        <v>0.13565217391304349</v>
      </c>
      <c r="AY8" s="2">
        <v>0</v>
      </c>
      <c r="AZ8" s="2">
        <v>0</v>
      </c>
      <c r="BA8" s="5">
        <v>5.3913043478260869E-2</v>
      </c>
      <c r="BB8" s="3">
        <v>1.7391304347826088E-3</v>
      </c>
      <c r="BC8" s="5">
        <v>0.71478260869565202</v>
      </c>
      <c r="BD8" s="5">
        <v>2.1565217391304343</v>
      </c>
      <c r="BE8" s="2">
        <v>0</v>
      </c>
      <c r="BF8" s="5">
        <v>0.3634782608695652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3">
        <v>1.7391304347826088E-3</v>
      </c>
      <c r="BM8" s="5">
        <v>0.10086956521739129</v>
      </c>
      <c r="BN8" s="2">
        <v>0</v>
      </c>
      <c r="BO8" s="2">
        <v>0</v>
      </c>
      <c r="BP8" s="2">
        <v>0</v>
      </c>
      <c r="BQ8" s="2">
        <v>0</v>
      </c>
      <c r="BR8" s="5">
        <v>0.15652173913043479</v>
      </c>
      <c r="BS8" s="2">
        <v>0.01</v>
      </c>
      <c r="BT8" s="3">
        <v>1.7391304347826088E-3</v>
      </c>
      <c r="BU8" s="2">
        <v>0.01</v>
      </c>
      <c r="BV8" s="2">
        <v>0</v>
      </c>
      <c r="BW8" s="2">
        <v>0</v>
      </c>
      <c r="BX8" s="2">
        <v>0</v>
      </c>
      <c r="BY8" s="5">
        <v>6.2608695652173918E-2</v>
      </c>
      <c r="BZ8" s="5">
        <v>4.869565217391305E-2</v>
      </c>
      <c r="CA8" s="2">
        <v>0</v>
      </c>
      <c r="CB8" s="5">
        <v>0.21739130434782608</v>
      </c>
      <c r="CC8" s="2">
        <v>0</v>
      </c>
      <c r="CD8" s="5">
        <v>1.0434782608695653E-2</v>
      </c>
      <c r="CE8" s="2">
        <v>0.01</v>
      </c>
      <c r="CF8" s="2">
        <v>0</v>
      </c>
      <c r="CG8" s="5">
        <v>3.4782608695652174E-2</v>
      </c>
      <c r="CH8" s="2">
        <v>0.01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5">
        <v>6.956521739130435E-3</v>
      </c>
      <c r="CP8" s="2">
        <v>0.01</v>
      </c>
      <c r="CQ8" s="2">
        <v>0</v>
      </c>
      <c r="CR8" s="2">
        <v>0</v>
      </c>
      <c r="CS8" s="2">
        <v>0</v>
      </c>
      <c r="CT8" s="5">
        <v>0.28695652173913044</v>
      </c>
      <c r="CU8" s="5">
        <v>1.2173913043478262E-2</v>
      </c>
      <c r="CV8" s="5">
        <v>0.78086956521739115</v>
      </c>
      <c r="CW8" s="5">
        <v>1.3286956521739131</v>
      </c>
      <c r="CX8" s="2">
        <v>0.01</v>
      </c>
      <c r="CY8" s="3">
        <v>3.4782608695652175E-3</v>
      </c>
      <c r="CZ8" s="2">
        <v>0.01</v>
      </c>
      <c r="DA8" s="5">
        <v>0.33217391304347826</v>
      </c>
      <c r="DB8" s="2">
        <v>0</v>
      </c>
      <c r="DC8" s="3">
        <v>1.7391304347826088E-3</v>
      </c>
      <c r="DD8" s="3">
        <v>3.4782608695652175E-3</v>
      </c>
      <c r="DE8" s="5">
        <v>0.44347826086956521</v>
      </c>
      <c r="DF8" s="5">
        <v>0.13739130434782609</v>
      </c>
      <c r="DG8" s="2">
        <v>0</v>
      </c>
      <c r="DH8" s="5">
        <v>0.51478260869565218</v>
      </c>
      <c r="DI8" s="2">
        <v>0</v>
      </c>
      <c r="DJ8" s="2">
        <v>0</v>
      </c>
      <c r="DK8" s="2">
        <v>0.01</v>
      </c>
      <c r="DL8" s="5">
        <v>1.7391304347826087E-2</v>
      </c>
      <c r="DM8" s="5">
        <v>5.7391304347826091E-2</v>
      </c>
      <c r="DN8" s="2">
        <v>0.01</v>
      </c>
      <c r="DO8" s="5">
        <v>9.9130434782608703E-2</v>
      </c>
      <c r="DP8" s="5">
        <v>0.50782608695652154</v>
      </c>
      <c r="DQ8" s="5">
        <v>0.98260869565217401</v>
      </c>
      <c r="DR8" s="5">
        <v>0.3582608695652173</v>
      </c>
      <c r="DS8" s="3">
        <v>1.7391304347826088E-3</v>
      </c>
      <c r="DT8" s="5">
        <v>1.3843478260869564</v>
      </c>
      <c r="DU8" s="2">
        <v>0.01</v>
      </c>
      <c r="DV8" s="2">
        <v>0</v>
      </c>
      <c r="DW8" s="2">
        <v>0</v>
      </c>
      <c r="DX8" s="5">
        <v>1.1165217391304347</v>
      </c>
      <c r="DY8" s="5">
        <v>7.8260869565217397E-2</v>
      </c>
      <c r="DZ8" s="2">
        <v>0</v>
      </c>
      <c r="EA8" s="2">
        <v>0.01</v>
      </c>
      <c r="EB8" s="2">
        <v>0</v>
      </c>
      <c r="EC8" s="5">
        <v>5.2173913043478256E-3</v>
      </c>
      <c r="ED8" s="3">
        <v>1.7391304347826088E-3</v>
      </c>
      <c r="EE8" s="5">
        <v>0.50956521739130434</v>
      </c>
      <c r="EF8" s="3">
        <v>1.7391304347826088E-3</v>
      </c>
      <c r="EG8" s="6">
        <v>0</v>
      </c>
      <c r="EH8" s="3">
        <v>1.7391304347826088E-3</v>
      </c>
      <c r="EI8" s="2">
        <v>0</v>
      </c>
    </row>
    <row r="9" spans="1:139" x14ac:dyDescent="0.25">
      <c r="A9" s="1">
        <v>110</v>
      </c>
      <c r="B9" s="2">
        <v>0</v>
      </c>
      <c r="C9" s="2">
        <v>0.01</v>
      </c>
      <c r="D9" s="2">
        <v>0</v>
      </c>
      <c r="E9" s="2">
        <v>0.01</v>
      </c>
      <c r="F9" s="2">
        <v>0.01</v>
      </c>
      <c r="G9" s="5">
        <v>0.16799999999999998</v>
      </c>
      <c r="H9" s="2">
        <v>0</v>
      </c>
      <c r="I9" s="2">
        <v>0</v>
      </c>
      <c r="J9" s="5">
        <v>1.216</v>
      </c>
      <c r="K9" s="2">
        <v>0</v>
      </c>
      <c r="L9" s="2">
        <v>0</v>
      </c>
      <c r="M9" s="2">
        <v>0</v>
      </c>
      <c r="N9" s="2">
        <v>0.01</v>
      </c>
      <c r="O9" s="2">
        <v>0</v>
      </c>
      <c r="P9" s="5">
        <v>3.8639999999999999</v>
      </c>
      <c r="Q9" s="2">
        <v>0.01</v>
      </c>
      <c r="R9" s="2">
        <v>0</v>
      </c>
      <c r="S9" s="5">
        <v>5.1119999999999992</v>
      </c>
      <c r="T9" s="2">
        <v>0</v>
      </c>
      <c r="U9" s="2">
        <v>0</v>
      </c>
      <c r="V9" s="5">
        <v>17.448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5">
        <v>32.64</v>
      </c>
      <c r="AD9" s="5">
        <v>0.25600000000000001</v>
      </c>
      <c r="AE9" s="5">
        <v>8.0000000000000002E-3</v>
      </c>
      <c r="AF9" s="2">
        <v>0</v>
      </c>
      <c r="AG9" s="2">
        <v>0</v>
      </c>
      <c r="AH9" s="2">
        <v>0</v>
      </c>
      <c r="AI9" s="5">
        <v>0.41600000000000004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5">
        <v>3.2000000000000001E-2</v>
      </c>
      <c r="AS9" s="2">
        <v>0.01</v>
      </c>
      <c r="AT9" s="2">
        <v>0</v>
      </c>
      <c r="AU9" s="2">
        <v>0</v>
      </c>
      <c r="AV9" s="2">
        <v>0</v>
      </c>
      <c r="AW9" s="2">
        <v>0</v>
      </c>
      <c r="AX9" s="2">
        <v>0.01</v>
      </c>
      <c r="AY9" s="2">
        <v>0</v>
      </c>
      <c r="AZ9" s="2">
        <v>0</v>
      </c>
      <c r="BA9" s="2">
        <v>0</v>
      </c>
      <c r="BB9" s="2">
        <v>0</v>
      </c>
      <c r="BC9" s="2">
        <v>0.08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5">
        <v>0.42400000000000004</v>
      </c>
      <c r="BN9" s="2">
        <v>0</v>
      </c>
      <c r="BO9" s="2">
        <v>0.24</v>
      </c>
      <c r="BP9" s="2">
        <v>0</v>
      </c>
      <c r="BQ9" s="2">
        <v>0</v>
      </c>
      <c r="BR9" s="2">
        <v>0</v>
      </c>
      <c r="BS9" s="2">
        <v>0</v>
      </c>
      <c r="BT9" s="2">
        <v>0.01</v>
      </c>
      <c r="BU9" s="2">
        <v>0.01</v>
      </c>
      <c r="BV9" s="2">
        <v>0.01</v>
      </c>
      <c r="BW9" s="2">
        <v>0</v>
      </c>
      <c r="BX9" s="2">
        <v>0</v>
      </c>
      <c r="BY9" s="5">
        <v>8.0000000000000002E-3</v>
      </c>
      <c r="BZ9" s="5">
        <v>1.6E-2</v>
      </c>
      <c r="CA9" s="2">
        <v>0</v>
      </c>
      <c r="CB9" s="5">
        <v>0.8640000000000001</v>
      </c>
      <c r="CC9" s="2">
        <v>0.01</v>
      </c>
      <c r="CD9" s="2">
        <v>0</v>
      </c>
      <c r="CE9" s="2">
        <v>0</v>
      </c>
      <c r="CF9" s="2">
        <v>0</v>
      </c>
      <c r="CG9" s="5">
        <v>4.8000000000000001E-2</v>
      </c>
      <c r="CH9" s="2">
        <v>0.01</v>
      </c>
      <c r="CI9" s="2">
        <v>0</v>
      </c>
      <c r="CJ9" s="2">
        <v>0.01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0.01</v>
      </c>
      <c r="CY9" s="5">
        <v>0.61599999999999999</v>
      </c>
      <c r="CZ9" s="2">
        <v>0.01</v>
      </c>
      <c r="DA9" s="2">
        <v>0.01</v>
      </c>
      <c r="DB9" s="2">
        <v>0</v>
      </c>
      <c r="DC9" s="2">
        <v>0</v>
      </c>
      <c r="DD9" s="2">
        <v>0</v>
      </c>
      <c r="DE9" s="2">
        <v>0.01</v>
      </c>
      <c r="DF9" s="5">
        <v>0.52799999999999991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0.01</v>
      </c>
      <c r="DM9" s="2">
        <v>0</v>
      </c>
      <c r="DN9" s="2">
        <v>0</v>
      </c>
      <c r="DO9" s="2">
        <v>0.01</v>
      </c>
      <c r="DP9" s="5">
        <v>0.73599999999999999</v>
      </c>
      <c r="DQ9" s="2">
        <v>0.01</v>
      </c>
      <c r="DR9" s="2">
        <v>0.04</v>
      </c>
      <c r="DS9" s="2">
        <v>0</v>
      </c>
      <c r="DT9" s="2">
        <v>0.01</v>
      </c>
      <c r="DU9" s="2">
        <v>0</v>
      </c>
      <c r="DV9" s="2">
        <v>0.01</v>
      </c>
      <c r="DW9" s="2">
        <v>0</v>
      </c>
      <c r="DX9" s="2">
        <v>0.01</v>
      </c>
      <c r="DY9" s="2">
        <v>0</v>
      </c>
      <c r="DZ9" s="2">
        <v>0</v>
      </c>
      <c r="EA9" s="2">
        <v>0</v>
      </c>
      <c r="EB9" s="2">
        <v>0</v>
      </c>
      <c r="EC9" s="2">
        <v>0.12</v>
      </c>
      <c r="ED9" s="2">
        <v>0</v>
      </c>
      <c r="EE9" s="2">
        <v>0</v>
      </c>
      <c r="EF9" s="2">
        <v>0.01</v>
      </c>
      <c r="EG9" s="2">
        <v>0</v>
      </c>
      <c r="EH9" s="2">
        <v>0</v>
      </c>
      <c r="EI9" s="2">
        <v>0</v>
      </c>
    </row>
    <row r="10" spans="1:139" x14ac:dyDescent="0.25">
      <c r="A10" s="1" t="s">
        <v>1</v>
      </c>
      <c r="B10" s="4">
        <v>0</v>
      </c>
      <c r="C10" s="4">
        <v>0</v>
      </c>
      <c r="D10" s="4">
        <v>0</v>
      </c>
      <c r="E10" s="4">
        <v>0</v>
      </c>
      <c r="F10" s="4">
        <v>0.14000000000000001</v>
      </c>
      <c r="G10" s="4">
        <v>0.86</v>
      </c>
      <c r="H10" s="4">
        <v>0</v>
      </c>
      <c r="I10" s="4">
        <v>0.38</v>
      </c>
      <c r="J10" s="4">
        <v>0.01</v>
      </c>
      <c r="K10" s="4">
        <v>0</v>
      </c>
      <c r="L10" s="4">
        <v>1.42</v>
      </c>
      <c r="M10" s="4">
        <v>0.62</v>
      </c>
      <c r="N10" s="4">
        <v>0.04</v>
      </c>
      <c r="O10" s="4">
        <v>0</v>
      </c>
      <c r="P10" s="4">
        <v>0</v>
      </c>
      <c r="Q10" s="4">
        <v>0.01</v>
      </c>
      <c r="R10" s="4">
        <v>0.54</v>
      </c>
      <c r="S10" s="4">
        <v>1.04</v>
      </c>
      <c r="T10" s="4">
        <v>0.84</v>
      </c>
      <c r="U10" s="4">
        <v>0</v>
      </c>
      <c r="V10" s="4">
        <v>35.299999999999997</v>
      </c>
      <c r="W10" s="4">
        <v>11.54</v>
      </c>
      <c r="X10" s="4">
        <v>0</v>
      </c>
      <c r="Y10" s="4">
        <v>0</v>
      </c>
      <c r="Z10" s="4">
        <v>0</v>
      </c>
      <c r="AA10" s="4">
        <v>1.84</v>
      </c>
      <c r="AB10" s="4">
        <v>6.5</v>
      </c>
      <c r="AC10" s="4">
        <v>0</v>
      </c>
      <c r="AD10" s="4">
        <v>0</v>
      </c>
      <c r="AE10" s="4">
        <v>0.46</v>
      </c>
      <c r="AF10" s="4">
        <v>2.5</v>
      </c>
      <c r="AG10" s="4">
        <v>0</v>
      </c>
      <c r="AH10" s="4">
        <v>0</v>
      </c>
      <c r="AI10" s="4">
        <v>1.2</v>
      </c>
      <c r="AJ10" s="4">
        <v>0</v>
      </c>
      <c r="AK10" s="4">
        <v>0</v>
      </c>
      <c r="AL10" s="4">
        <v>0</v>
      </c>
      <c r="AM10" s="4">
        <v>0.08</v>
      </c>
      <c r="AN10" s="4">
        <v>0.01</v>
      </c>
      <c r="AO10" s="4">
        <v>1.04</v>
      </c>
      <c r="AP10" s="4">
        <v>0.01</v>
      </c>
      <c r="AQ10" s="4">
        <v>0</v>
      </c>
      <c r="AR10" s="4">
        <v>0</v>
      </c>
      <c r="AS10" s="4">
        <v>0.42</v>
      </c>
      <c r="AT10" s="4">
        <v>0.01</v>
      </c>
      <c r="AU10" s="4">
        <v>0.46</v>
      </c>
      <c r="AV10" s="4">
        <v>0</v>
      </c>
      <c r="AW10" s="4">
        <v>3.16</v>
      </c>
      <c r="AX10" s="4">
        <v>0.34</v>
      </c>
      <c r="AY10" s="4">
        <v>0.01</v>
      </c>
      <c r="AZ10" s="4">
        <v>0</v>
      </c>
      <c r="BA10" s="4">
        <v>0.34</v>
      </c>
      <c r="BB10" s="4">
        <v>0.01</v>
      </c>
      <c r="BC10" s="4">
        <v>0.01</v>
      </c>
      <c r="BD10" s="4">
        <v>0.01</v>
      </c>
      <c r="BE10" s="4">
        <v>0</v>
      </c>
      <c r="BF10" s="4">
        <v>0</v>
      </c>
      <c r="BG10" s="4">
        <v>0</v>
      </c>
      <c r="BH10" s="4">
        <v>0</v>
      </c>
      <c r="BI10" s="4">
        <v>2.02</v>
      </c>
      <c r="BJ10" s="4">
        <v>0</v>
      </c>
      <c r="BK10" s="4">
        <v>0</v>
      </c>
      <c r="BL10" s="4">
        <v>0</v>
      </c>
      <c r="BM10" s="4">
        <v>0.01</v>
      </c>
      <c r="BN10" s="4">
        <v>0</v>
      </c>
      <c r="BO10" s="4">
        <v>0.18</v>
      </c>
      <c r="BP10" s="4">
        <v>0.62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0.01</v>
      </c>
      <c r="BY10" s="4">
        <v>0</v>
      </c>
      <c r="BZ10" s="4">
        <v>0</v>
      </c>
      <c r="CA10" s="4">
        <v>0</v>
      </c>
      <c r="CB10" s="4">
        <v>0.02</v>
      </c>
      <c r="CC10" s="4">
        <v>0.02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17.62</v>
      </c>
      <c r="CJ10" s="4">
        <v>0</v>
      </c>
      <c r="CK10" s="4">
        <v>0.26</v>
      </c>
      <c r="CL10" s="4">
        <v>0.24</v>
      </c>
      <c r="CM10" s="4">
        <v>0</v>
      </c>
      <c r="CN10" s="4">
        <v>1.42</v>
      </c>
      <c r="CO10" s="4">
        <v>0.01</v>
      </c>
      <c r="CP10" s="4">
        <v>0.01</v>
      </c>
      <c r="CQ10" s="4">
        <v>0.01</v>
      </c>
      <c r="CR10" s="4">
        <v>0.06</v>
      </c>
      <c r="CS10" s="4">
        <v>0</v>
      </c>
      <c r="CT10" s="4">
        <v>4.34</v>
      </c>
      <c r="CU10" s="4">
        <v>0.06</v>
      </c>
      <c r="CV10" s="4">
        <v>0</v>
      </c>
      <c r="CW10" s="4">
        <v>0</v>
      </c>
      <c r="CX10" s="4">
        <v>0.02</v>
      </c>
      <c r="CY10" s="4">
        <v>0.01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0.01</v>
      </c>
      <c r="DG10" s="4">
        <v>0.01</v>
      </c>
      <c r="DH10" s="4">
        <v>0.5</v>
      </c>
      <c r="DI10" s="4">
        <v>0</v>
      </c>
      <c r="DJ10" s="4">
        <v>0</v>
      </c>
      <c r="DK10" s="4">
        <v>0</v>
      </c>
      <c r="DL10" s="4">
        <v>0</v>
      </c>
      <c r="DM10" s="4">
        <v>0.08</v>
      </c>
      <c r="DN10" s="4">
        <v>0</v>
      </c>
      <c r="DO10" s="4">
        <v>0</v>
      </c>
      <c r="DP10" s="4">
        <v>0.04</v>
      </c>
      <c r="DQ10" s="4">
        <v>0.14000000000000001</v>
      </c>
      <c r="DR10" s="4">
        <v>0.16</v>
      </c>
      <c r="DS10" s="4">
        <v>0</v>
      </c>
      <c r="DT10" s="4">
        <v>0.01</v>
      </c>
      <c r="DU10" s="4">
        <v>0</v>
      </c>
      <c r="DV10" s="4">
        <v>0</v>
      </c>
      <c r="DW10" s="4">
        <v>0</v>
      </c>
      <c r="DX10" s="4">
        <v>0.01</v>
      </c>
      <c r="DY10" s="4">
        <v>0.04</v>
      </c>
      <c r="DZ10" s="4">
        <v>0</v>
      </c>
      <c r="EA10" s="4">
        <v>0</v>
      </c>
      <c r="EB10" s="4">
        <v>0</v>
      </c>
      <c r="EC10" s="4">
        <v>0.01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2">
        <v>0</v>
      </c>
    </row>
    <row r="11" spans="1:139" x14ac:dyDescent="0.25">
      <c r="A11" s="1" t="s">
        <v>2</v>
      </c>
      <c r="B11" s="4">
        <v>0</v>
      </c>
      <c r="C11" s="4">
        <v>2</v>
      </c>
      <c r="D11" s="4">
        <v>0</v>
      </c>
      <c r="E11" s="4">
        <v>0</v>
      </c>
      <c r="F11" s="4">
        <v>0.01</v>
      </c>
      <c r="G11" s="4">
        <v>1.18</v>
      </c>
      <c r="H11" s="4">
        <v>0</v>
      </c>
      <c r="I11" s="4">
        <v>0</v>
      </c>
      <c r="J11" s="4">
        <v>1.02</v>
      </c>
      <c r="K11" s="4">
        <v>0</v>
      </c>
      <c r="L11" s="4">
        <v>0.62</v>
      </c>
      <c r="M11" s="4">
        <v>0</v>
      </c>
      <c r="N11" s="4">
        <v>0.38</v>
      </c>
      <c r="O11" s="4">
        <v>0.01</v>
      </c>
      <c r="P11" s="4">
        <v>1.22</v>
      </c>
      <c r="Q11" s="4">
        <v>0</v>
      </c>
      <c r="R11" s="4">
        <v>0</v>
      </c>
      <c r="S11" s="4">
        <v>5.0599999999999996</v>
      </c>
      <c r="T11" s="4">
        <v>0</v>
      </c>
      <c r="U11" s="4">
        <v>0.62</v>
      </c>
      <c r="V11" s="4">
        <v>2.2000000000000002</v>
      </c>
      <c r="W11" s="4">
        <v>0</v>
      </c>
      <c r="X11" s="4">
        <v>0</v>
      </c>
      <c r="Y11" s="4">
        <v>0</v>
      </c>
      <c r="Z11" s="4">
        <v>0</v>
      </c>
      <c r="AA11" s="4">
        <v>0.01</v>
      </c>
      <c r="AB11" s="4">
        <v>0.01</v>
      </c>
      <c r="AC11" s="4">
        <v>13.9</v>
      </c>
      <c r="AD11" s="4">
        <v>0</v>
      </c>
      <c r="AE11" s="4">
        <v>0</v>
      </c>
      <c r="AF11" s="4">
        <v>0.18</v>
      </c>
      <c r="AG11" s="4">
        <v>0</v>
      </c>
      <c r="AH11" s="4">
        <v>0</v>
      </c>
      <c r="AI11" s="4">
        <v>0.72</v>
      </c>
      <c r="AJ11" s="4">
        <v>0</v>
      </c>
      <c r="AK11" s="4">
        <v>0</v>
      </c>
      <c r="AL11" s="4">
        <v>0</v>
      </c>
      <c r="AM11" s="4">
        <v>0.06</v>
      </c>
      <c r="AN11" s="4">
        <v>0.01</v>
      </c>
      <c r="AO11" s="4">
        <v>0</v>
      </c>
      <c r="AP11" s="4">
        <v>0.56000000000000005</v>
      </c>
      <c r="AQ11" s="4">
        <v>0</v>
      </c>
      <c r="AR11" s="4">
        <v>0.82</v>
      </c>
      <c r="AS11" s="4">
        <v>2.04</v>
      </c>
      <c r="AT11" s="4">
        <v>0.01</v>
      </c>
      <c r="AU11" s="4">
        <v>1.88</v>
      </c>
      <c r="AV11" s="4">
        <v>0</v>
      </c>
      <c r="AW11" s="4">
        <v>0</v>
      </c>
      <c r="AX11" s="4">
        <v>0.44</v>
      </c>
      <c r="AY11" s="4">
        <v>0</v>
      </c>
      <c r="AZ11" s="4">
        <v>0</v>
      </c>
      <c r="BA11" s="4">
        <v>0.3</v>
      </c>
      <c r="BB11" s="4">
        <v>0.01</v>
      </c>
      <c r="BC11" s="4">
        <v>3.5</v>
      </c>
      <c r="BD11" s="4">
        <v>0.04</v>
      </c>
      <c r="BE11" s="4">
        <v>0</v>
      </c>
      <c r="BF11" s="4">
        <v>0.01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0.01</v>
      </c>
      <c r="BM11" s="4">
        <v>0.14000000000000001</v>
      </c>
      <c r="BN11" s="4">
        <v>0</v>
      </c>
      <c r="BO11" s="4">
        <v>0</v>
      </c>
      <c r="BP11" s="4">
        <v>0</v>
      </c>
      <c r="BQ11" s="4">
        <v>0</v>
      </c>
      <c r="BR11" s="4">
        <v>0.36</v>
      </c>
      <c r="BS11" s="4">
        <v>0</v>
      </c>
      <c r="BT11" s="4">
        <v>1.28</v>
      </c>
      <c r="BU11" s="4">
        <v>0.34</v>
      </c>
      <c r="BV11" s="4">
        <v>0.14000000000000001</v>
      </c>
      <c r="BW11" s="4">
        <v>0.01</v>
      </c>
      <c r="BX11" s="4">
        <v>0</v>
      </c>
      <c r="BY11" s="4">
        <v>0.08</v>
      </c>
      <c r="BZ11" s="4">
        <v>0.16</v>
      </c>
      <c r="CA11" s="4">
        <v>0.01</v>
      </c>
      <c r="CB11" s="4">
        <v>0.24</v>
      </c>
      <c r="CC11" s="4">
        <v>0.26</v>
      </c>
      <c r="CD11" s="4">
        <v>0</v>
      </c>
      <c r="CE11" s="4">
        <v>0</v>
      </c>
      <c r="CF11" s="4">
        <v>0.01</v>
      </c>
      <c r="CG11" s="4">
        <v>0.16</v>
      </c>
      <c r="CH11" s="4">
        <v>0.38</v>
      </c>
      <c r="CI11" s="4">
        <v>0</v>
      </c>
      <c r="CJ11" s="4">
        <v>0.06</v>
      </c>
      <c r="CK11" s="4">
        <v>0.01</v>
      </c>
      <c r="CL11" s="4">
        <v>0</v>
      </c>
      <c r="CM11" s="4">
        <v>0</v>
      </c>
      <c r="CN11" s="4">
        <v>0</v>
      </c>
      <c r="CO11" s="4">
        <v>0.01</v>
      </c>
      <c r="CP11" s="4">
        <v>0.02</v>
      </c>
      <c r="CQ11" s="4">
        <v>0.01</v>
      </c>
      <c r="CR11" s="4">
        <v>0</v>
      </c>
      <c r="CS11" s="4">
        <v>0</v>
      </c>
      <c r="CT11" s="4">
        <v>1.64</v>
      </c>
      <c r="CU11" s="4">
        <v>0.01</v>
      </c>
      <c r="CV11" s="4">
        <v>0</v>
      </c>
      <c r="CW11" s="4">
        <v>2</v>
      </c>
      <c r="CX11" s="4">
        <v>0.01</v>
      </c>
      <c r="CY11" s="4">
        <v>1.1000000000000001</v>
      </c>
      <c r="CZ11" s="4">
        <v>0</v>
      </c>
      <c r="DA11" s="4">
        <v>0</v>
      </c>
      <c r="DB11" s="4">
        <v>0</v>
      </c>
      <c r="DC11" s="4">
        <v>0.01</v>
      </c>
      <c r="DD11" s="4">
        <v>0.01</v>
      </c>
      <c r="DE11" s="4">
        <v>0.01</v>
      </c>
      <c r="DF11" s="4">
        <v>5.12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0.34</v>
      </c>
      <c r="DM11" s="4">
        <v>0.72</v>
      </c>
      <c r="DN11" s="4">
        <v>0.72</v>
      </c>
      <c r="DO11" s="4">
        <v>0</v>
      </c>
      <c r="DP11" s="4">
        <v>0.6</v>
      </c>
      <c r="DQ11" s="4">
        <v>0.01</v>
      </c>
      <c r="DR11" s="4">
        <v>0.3</v>
      </c>
      <c r="DS11" s="4">
        <v>0</v>
      </c>
      <c r="DT11" s="4">
        <v>0.01</v>
      </c>
      <c r="DU11" s="4">
        <v>0.01</v>
      </c>
      <c r="DV11" s="4">
        <v>0</v>
      </c>
      <c r="DW11" s="4">
        <v>0</v>
      </c>
      <c r="DX11" s="4">
        <v>0.42</v>
      </c>
      <c r="DY11" s="4">
        <v>0.08</v>
      </c>
      <c r="DZ11" s="4">
        <v>0</v>
      </c>
      <c r="EA11" s="4">
        <v>0</v>
      </c>
      <c r="EB11" s="4">
        <v>0.01</v>
      </c>
      <c r="EC11" s="4">
        <v>0.01</v>
      </c>
      <c r="ED11" s="4">
        <v>0.01</v>
      </c>
      <c r="EE11" s="4">
        <v>0</v>
      </c>
      <c r="EF11" s="4">
        <v>0</v>
      </c>
      <c r="EG11" s="4">
        <v>0</v>
      </c>
      <c r="EH11" s="4">
        <v>0.01</v>
      </c>
      <c r="EI11" s="2">
        <v>0</v>
      </c>
    </row>
    <row r="12" spans="1:139" x14ac:dyDescent="0.25">
      <c r="A12" s="1" t="s">
        <v>3</v>
      </c>
      <c r="B12" s="2">
        <v>0</v>
      </c>
      <c r="C12" s="2">
        <v>2.2599999999999998</v>
      </c>
      <c r="D12" s="2">
        <v>0</v>
      </c>
      <c r="E12" s="2">
        <v>0</v>
      </c>
      <c r="F12" s="2">
        <v>0</v>
      </c>
      <c r="G12" s="2">
        <v>1.38</v>
      </c>
      <c r="H12" s="2">
        <v>0</v>
      </c>
      <c r="I12" s="2">
        <v>0.01</v>
      </c>
      <c r="J12" s="2">
        <v>2.36</v>
      </c>
      <c r="K12" s="2">
        <v>0.14000000000000001</v>
      </c>
      <c r="L12" s="2">
        <v>0</v>
      </c>
      <c r="M12" s="2">
        <v>0</v>
      </c>
      <c r="N12" s="2">
        <v>2.34</v>
      </c>
      <c r="O12" s="2">
        <v>0</v>
      </c>
      <c r="P12" s="2">
        <v>2.2400000000000002</v>
      </c>
      <c r="Q12" s="2">
        <v>0</v>
      </c>
      <c r="R12" s="2">
        <v>0</v>
      </c>
      <c r="S12" s="2">
        <v>2.42</v>
      </c>
      <c r="T12" s="2">
        <v>0</v>
      </c>
      <c r="U12" s="2">
        <v>0</v>
      </c>
      <c r="V12" s="2">
        <v>0.48</v>
      </c>
      <c r="W12" s="2">
        <v>0.01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1.7</v>
      </c>
      <c r="AD12" s="2">
        <v>0</v>
      </c>
      <c r="AE12" s="2">
        <v>0.54</v>
      </c>
      <c r="AF12" s="2">
        <v>0.01</v>
      </c>
      <c r="AG12" s="2">
        <v>0</v>
      </c>
      <c r="AH12" s="2">
        <v>1.04</v>
      </c>
      <c r="AI12" s="2">
        <v>0.01</v>
      </c>
      <c r="AJ12" s="2">
        <v>0</v>
      </c>
      <c r="AK12" s="2">
        <v>0</v>
      </c>
      <c r="AL12" s="2">
        <v>0</v>
      </c>
      <c r="AM12" s="2">
        <v>0.04</v>
      </c>
      <c r="AN12" s="2">
        <v>0</v>
      </c>
      <c r="AO12" s="2">
        <v>0.38</v>
      </c>
      <c r="AP12" s="2">
        <v>0</v>
      </c>
      <c r="AQ12" s="2">
        <v>0</v>
      </c>
      <c r="AR12" s="2">
        <v>0.01</v>
      </c>
      <c r="AS12" s="2">
        <v>3.44</v>
      </c>
      <c r="AT12" s="2">
        <v>0.01</v>
      </c>
      <c r="AU12" s="2">
        <v>1.4</v>
      </c>
      <c r="AV12" s="2">
        <v>0</v>
      </c>
      <c r="AW12" s="2">
        <v>1.02</v>
      </c>
      <c r="AX12" s="2">
        <v>1.02</v>
      </c>
      <c r="AY12" s="2">
        <v>0</v>
      </c>
      <c r="AZ12" s="2">
        <v>0</v>
      </c>
      <c r="BA12" s="2">
        <v>0.02</v>
      </c>
      <c r="BB12" s="2">
        <v>0.01</v>
      </c>
      <c r="BC12" s="2">
        <v>2</v>
      </c>
      <c r="BD12" s="2">
        <v>0.18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0.01</v>
      </c>
      <c r="BM12" s="2">
        <v>0.02</v>
      </c>
      <c r="BN12" s="2">
        <v>0.01</v>
      </c>
      <c r="BO12" s="2">
        <v>0</v>
      </c>
      <c r="BP12" s="2">
        <v>0</v>
      </c>
      <c r="BQ12" s="2">
        <v>0</v>
      </c>
      <c r="BR12" s="2">
        <v>0.82</v>
      </c>
      <c r="BS12" s="2">
        <v>0.01</v>
      </c>
      <c r="BT12" s="2">
        <v>1.94</v>
      </c>
      <c r="BU12" s="2">
        <v>0.78</v>
      </c>
      <c r="BV12" s="2">
        <v>0.5</v>
      </c>
      <c r="BW12" s="2">
        <v>0</v>
      </c>
      <c r="BX12" s="2">
        <v>0</v>
      </c>
      <c r="BY12" s="2">
        <v>0.16</v>
      </c>
      <c r="BZ12" s="2">
        <v>0.08</v>
      </c>
      <c r="CA12" s="2">
        <v>0</v>
      </c>
      <c r="CB12" s="2">
        <v>0.01</v>
      </c>
      <c r="CC12" s="2">
        <v>0</v>
      </c>
      <c r="CD12" s="2">
        <v>0.01</v>
      </c>
      <c r="CE12" s="2">
        <v>0.72</v>
      </c>
      <c r="CF12" s="2">
        <v>0</v>
      </c>
      <c r="CG12" s="2">
        <v>2</v>
      </c>
      <c r="CH12" s="2">
        <v>0.72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0.84</v>
      </c>
      <c r="CU12" s="2">
        <v>0.01</v>
      </c>
      <c r="CV12" s="2">
        <v>0</v>
      </c>
      <c r="CW12" s="2">
        <v>2.34</v>
      </c>
      <c r="CX12" s="2">
        <v>0.52</v>
      </c>
      <c r="CY12" s="2">
        <v>0.01</v>
      </c>
      <c r="CZ12" s="2">
        <v>0.01</v>
      </c>
      <c r="DA12" s="2">
        <v>0.01</v>
      </c>
      <c r="DB12" s="2">
        <v>0</v>
      </c>
      <c r="DC12" s="2">
        <v>0</v>
      </c>
      <c r="DD12" s="2">
        <v>0.01</v>
      </c>
      <c r="DE12" s="2">
        <v>0</v>
      </c>
      <c r="DF12" s="2">
        <v>0</v>
      </c>
      <c r="DG12" s="2">
        <v>0</v>
      </c>
      <c r="DH12" s="2">
        <v>0.01</v>
      </c>
      <c r="DI12" s="2">
        <v>0</v>
      </c>
      <c r="DJ12" s="2">
        <v>0</v>
      </c>
      <c r="DK12" s="2">
        <v>0.01</v>
      </c>
      <c r="DL12" s="2">
        <v>0.01</v>
      </c>
      <c r="DM12" s="2">
        <v>0</v>
      </c>
      <c r="DN12" s="2">
        <v>0</v>
      </c>
      <c r="DO12" s="2">
        <v>0.18</v>
      </c>
      <c r="DP12" s="2">
        <v>0.2</v>
      </c>
      <c r="DQ12" s="2">
        <v>0.01</v>
      </c>
      <c r="DR12" s="2">
        <v>0.54</v>
      </c>
      <c r="DS12" s="2">
        <v>0</v>
      </c>
      <c r="DT12" s="2">
        <v>0.01</v>
      </c>
      <c r="DU12" s="2">
        <v>0</v>
      </c>
      <c r="DV12" s="2">
        <v>0</v>
      </c>
      <c r="DW12" s="2">
        <v>0.14000000000000001</v>
      </c>
      <c r="DX12" s="2">
        <v>0.01</v>
      </c>
      <c r="DY12" s="2">
        <v>0.06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0.01</v>
      </c>
      <c r="EF12" s="2">
        <v>0.01</v>
      </c>
      <c r="EG12" s="2">
        <v>0</v>
      </c>
      <c r="EH12" s="2">
        <v>0.01</v>
      </c>
      <c r="EI12" s="2">
        <v>0</v>
      </c>
    </row>
    <row r="13" spans="1:139" x14ac:dyDescent="0.25">
      <c r="A13" s="1" t="s">
        <v>4</v>
      </c>
      <c r="B13" s="2">
        <v>0</v>
      </c>
      <c r="C13" s="5">
        <v>3.7060000000000004</v>
      </c>
      <c r="D13" s="2">
        <v>0</v>
      </c>
      <c r="E13" s="2">
        <v>0</v>
      </c>
      <c r="F13" s="2">
        <v>0</v>
      </c>
      <c r="G13" s="2">
        <v>0.87</v>
      </c>
      <c r="H13" s="2">
        <v>0</v>
      </c>
      <c r="I13" s="2">
        <v>0</v>
      </c>
      <c r="J13" s="5">
        <v>1.1020000000000001</v>
      </c>
      <c r="K13" s="2">
        <v>0</v>
      </c>
      <c r="L13" s="2">
        <v>0.01</v>
      </c>
      <c r="M13" s="2">
        <v>0</v>
      </c>
      <c r="N13" s="5">
        <v>2.0720000000000001</v>
      </c>
      <c r="O13" s="5">
        <v>0.19800000000000001</v>
      </c>
      <c r="P13" s="5">
        <v>0.21600000000000003</v>
      </c>
      <c r="Q13" s="2">
        <v>0</v>
      </c>
      <c r="R13" s="2">
        <v>0</v>
      </c>
      <c r="S13" s="2">
        <v>0</v>
      </c>
      <c r="T13" s="2">
        <v>0</v>
      </c>
      <c r="U13" s="5">
        <v>3.4000000000000002E-2</v>
      </c>
      <c r="V13" s="5">
        <v>6.6839999999999993</v>
      </c>
      <c r="W13" s="2">
        <v>0</v>
      </c>
      <c r="X13" s="2">
        <v>0</v>
      </c>
      <c r="Y13" s="2">
        <v>0</v>
      </c>
      <c r="Z13" s="2">
        <v>0</v>
      </c>
      <c r="AA13" s="2">
        <v>0.01</v>
      </c>
      <c r="AB13" s="2">
        <v>0</v>
      </c>
      <c r="AC13" s="5">
        <v>2.1819999999999999</v>
      </c>
      <c r="AD13" s="2">
        <v>0</v>
      </c>
      <c r="AE13" s="5">
        <v>1.044</v>
      </c>
      <c r="AF13" s="2">
        <v>0.01</v>
      </c>
      <c r="AG13" s="2">
        <v>0.01</v>
      </c>
      <c r="AH13" s="5">
        <v>2.2440000000000002</v>
      </c>
      <c r="AI13" s="5">
        <v>0.17800000000000002</v>
      </c>
      <c r="AJ13" s="2">
        <v>0.01</v>
      </c>
      <c r="AK13" s="2">
        <v>0.01</v>
      </c>
      <c r="AL13" s="2">
        <v>0.13</v>
      </c>
      <c r="AM13" s="2">
        <v>0</v>
      </c>
      <c r="AN13" s="2">
        <v>0</v>
      </c>
      <c r="AO13" s="2">
        <v>0</v>
      </c>
      <c r="AP13" s="2">
        <v>0.01</v>
      </c>
      <c r="AQ13" s="2">
        <v>0</v>
      </c>
      <c r="AR13" s="2">
        <v>0</v>
      </c>
      <c r="AS13" s="2">
        <v>0.01</v>
      </c>
      <c r="AT13" s="5">
        <v>0.20600000000000002</v>
      </c>
      <c r="AU13" s="5">
        <v>0.68200000000000005</v>
      </c>
      <c r="AV13" s="2">
        <v>0</v>
      </c>
      <c r="AW13" s="5">
        <v>1.274</v>
      </c>
      <c r="AX13" s="5">
        <v>8.2000000000000003E-2</v>
      </c>
      <c r="AY13" s="2">
        <v>0.01</v>
      </c>
      <c r="AZ13" s="2">
        <v>0</v>
      </c>
      <c r="BA13" s="2">
        <v>0</v>
      </c>
      <c r="BB13" s="2">
        <v>0</v>
      </c>
      <c r="BC13" s="5">
        <v>1.1499999999999999</v>
      </c>
      <c r="BD13" s="5">
        <v>1.7999999999999999E-2</v>
      </c>
      <c r="BE13" s="2">
        <v>0</v>
      </c>
      <c r="BF13" s="2">
        <v>0.01</v>
      </c>
      <c r="BG13" s="2">
        <v>0</v>
      </c>
      <c r="BH13" s="5">
        <v>0.22199999999999998</v>
      </c>
      <c r="BI13" s="2">
        <v>0</v>
      </c>
      <c r="BJ13" s="2">
        <v>0</v>
      </c>
      <c r="BK13" s="2">
        <v>0</v>
      </c>
      <c r="BL13" s="5">
        <v>0.59800000000000009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0.01</v>
      </c>
      <c r="BS13" s="2">
        <v>0.01</v>
      </c>
      <c r="BT13" s="5">
        <v>4.6000000000000006E-2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0.02</v>
      </c>
      <c r="CA13" s="2">
        <v>0</v>
      </c>
      <c r="CB13" s="2">
        <v>0.01</v>
      </c>
      <c r="CC13" s="5">
        <v>2.4440000000000004</v>
      </c>
      <c r="CD13" s="2">
        <v>0</v>
      </c>
      <c r="CE13" s="5">
        <v>1.1039999999999999</v>
      </c>
      <c r="CF13" s="2">
        <v>0</v>
      </c>
      <c r="CG13" s="5">
        <v>1.3519999999999999</v>
      </c>
      <c r="CH13" s="2">
        <v>0.01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0.01</v>
      </c>
      <c r="CU13" s="2">
        <v>0</v>
      </c>
      <c r="CV13" s="2">
        <v>0</v>
      </c>
      <c r="CW13" s="5">
        <v>2.4E-2</v>
      </c>
      <c r="CX13" s="2">
        <v>0</v>
      </c>
      <c r="CY13" s="5">
        <v>0.6080000000000001</v>
      </c>
      <c r="CZ13" s="2">
        <v>0</v>
      </c>
      <c r="DA13" s="2">
        <v>0</v>
      </c>
      <c r="DB13" s="2">
        <v>0</v>
      </c>
      <c r="DC13" s="2">
        <v>0.01</v>
      </c>
      <c r="DD13" s="2">
        <v>0</v>
      </c>
      <c r="DE13" s="2">
        <v>0</v>
      </c>
      <c r="DF13" s="5">
        <v>1.0660000000000001</v>
      </c>
      <c r="DG13" s="2">
        <v>0</v>
      </c>
      <c r="DH13" s="2">
        <v>0.01</v>
      </c>
      <c r="DI13" s="2">
        <v>0</v>
      </c>
      <c r="DJ13" s="2">
        <v>0</v>
      </c>
      <c r="DK13" s="2">
        <v>0.01</v>
      </c>
      <c r="DL13" s="2">
        <v>0.01</v>
      </c>
      <c r="DM13" s="5">
        <v>2.6000000000000002E-2</v>
      </c>
      <c r="DN13" s="2">
        <v>0</v>
      </c>
      <c r="DO13" s="2">
        <v>8.58</v>
      </c>
      <c r="DP13" s="5">
        <v>0.27200000000000002</v>
      </c>
      <c r="DQ13" s="5">
        <v>0.65200000000000014</v>
      </c>
      <c r="DR13" s="5">
        <v>3.8000000000000006E-2</v>
      </c>
      <c r="DS13" s="2">
        <v>0</v>
      </c>
      <c r="DT13" s="5">
        <v>0.23399999999999999</v>
      </c>
      <c r="DU13" s="2">
        <v>0</v>
      </c>
      <c r="DV13" s="2">
        <v>0</v>
      </c>
      <c r="DW13" s="2">
        <v>0.01</v>
      </c>
      <c r="DX13" s="2">
        <v>0</v>
      </c>
      <c r="DY13" s="2">
        <v>0.01</v>
      </c>
      <c r="DZ13" s="2">
        <v>0</v>
      </c>
      <c r="EA13" s="2">
        <v>0.01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</row>
    <row r="14" spans="1:139" x14ac:dyDescent="0.25">
      <c r="A14" s="1" t="s">
        <v>5</v>
      </c>
      <c r="B14" s="2">
        <v>0</v>
      </c>
      <c r="C14" s="5">
        <v>1.6371428571428572</v>
      </c>
      <c r="D14" s="2">
        <v>0</v>
      </c>
      <c r="E14" s="2">
        <v>0</v>
      </c>
      <c r="F14" s="2">
        <v>0</v>
      </c>
      <c r="G14" s="5">
        <v>4.8571428571428568</v>
      </c>
      <c r="H14" s="2">
        <v>0</v>
      </c>
      <c r="I14" s="5">
        <v>0.49142857142857144</v>
      </c>
      <c r="J14" s="5">
        <v>2.3371428571428572</v>
      </c>
      <c r="K14" s="5">
        <v>4.5514285714285707</v>
      </c>
      <c r="L14" s="2">
        <v>0.01</v>
      </c>
      <c r="M14" s="2">
        <v>0.01</v>
      </c>
      <c r="N14" s="5">
        <v>0.52857142857142858</v>
      </c>
      <c r="O14" s="2">
        <v>0.01</v>
      </c>
      <c r="P14" s="5">
        <v>1.4571428571428571</v>
      </c>
      <c r="Q14" s="2">
        <v>0</v>
      </c>
      <c r="R14" s="5">
        <v>0.46285714285714291</v>
      </c>
      <c r="S14" s="5">
        <v>35.474285714285713</v>
      </c>
      <c r="T14" s="2">
        <v>0</v>
      </c>
      <c r="U14" s="2">
        <v>0</v>
      </c>
      <c r="V14" s="5">
        <v>8.2171428571428571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5">
        <v>8.7714285714285705</v>
      </c>
      <c r="AD14" s="5">
        <v>0.21428571428571427</v>
      </c>
      <c r="AE14" s="5">
        <v>0.43142857142857144</v>
      </c>
      <c r="AF14" s="2">
        <v>0</v>
      </c>
      <c r="AG14" s="2">
        <v>0</v>
      </c>
      <c r="AH14" s="2">
        <v>0</v>
      </c>
      <c r="AI14" s="5">
        <v>1.8714285714285717</v>
      </c>
      <c r="AJ14" s="2">
        <v>0.01</v>
      </c>
      <c r="AK14" s="2">
        <v>0</v>
      </c>
      <c r="AL14" s="2">
        <v>0</v>
      </c>
      <c r="AM14" s="5">
        <v>1.6342857142857146</v>
      </c>
      <c r="AN14" s="2">
        <v>0.01</v>
      </c>
      <c r="AO14" s="5">
        <v>1.7714285714285711</v>
      </c>
      <c r="AP14" s="5">
        <v>0.24285714285714285</v>
      </c>
      <c r="AQ14" s="2">
        <v>0.01</v>
      </c>
      <c r="AR14" s="2">
        <v>0</v>
      </c>
      <c r="AS14" s="2">
        <v>0</v>
      </c>
      <c r="AT14" s="2">
        <v>1.96</v>
      </c>
      <c r="AU14" s="2">
        <v>3.32</v>
      </c>
      <c r="AV14" s="5">
        <v>5.1685714285714282</v>
      </c>
      <c r="AW14" s="5">
        <v>0.45142857142857146</v>
      </c>
      <c r="AX14" s="5">
        <v>0.13714285714285715</v>
      </c>
      <c r="AY14" s="2">
        <v>0.01</v>
      </c>
      <c r="AZ14" s="2">
        <v>0</v>
      </c>
      <c r="BA14" s="5">
        <v>0.85428571428571431</v>
      </c>
      <c r="BB14" s="2">
        <v>0.01</v>
      </c>
      <c r="BC14" s="5">
        <v>1.337142857142857</v>
      </c>
      <c r="BD14" s="2">
        <v>0</v>
      </c>
      <c r="BE14" s="2">
        <v>0</v>
      </c>
      <c r="BF14" s="2">
        <v>0.14000000000000001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5">
        <v>0.19714285714285712</v>
      </c>
      <c r="BM14" s="5">
        <v>0.84857142857142853</v>
      </c>
      <c r="BN14" s="2">
        <v>0</v>
      </c>
      <c r="BO14" s="2">
        <v>0</v>
      </c>
      <c r="BP14" s="2">
        <v>0</v>
      </c>
      <c r="BQ14" s="2">
        <v>0.01</v>
      </c>
      <c r="BR14" s="2">
        <v>0</v>
      </c>
      <c r="BS14" s="2">
        <v>0</v>
      </c>
      <c r="BT14" s="5">
        <v>8.2857142857142851E-2</v>
      </c>
      <c r="BU14" s="2">
        <v>0</v>
      </c>
      <c r="BV14" s="2">
        <v>0</v>
      </c>
      <c r="BW14" s="2">
        <v>0.01</v>
      </c>
      <c r="BX14" s="2">
        <v>0</v>
      </c>
      <c r="BY14" s="5">
        <v>5.7142857142857143E-3</v>
      </c>
      <c r="BZ14" s="2">
        <v>0.01</v>
      </c>
      <c r="CA14" s="2">
        <v>0</v>
      </c>
      <c r="CB14" s="5">
        <v>0.3542857142857142</v>
      </c>
      <c r="CC14" s="2">
        <v>0.32</v>
      </c>
      <c r="CD14" s="5">
        <v>0.6457142857142858</v>
      </c>
      <c r="CE14" s="2">
        <v>0</v>
      </c>
      <c r="CF14" s="2">
        <v>0</v>
      </c>
      <c r="CG14" s="5">
        <v>0.21714285714285714</v>
      </c>
      <c r="CH14" s="5">
        <v>8.8571428571428565E-2</v>
      </c>
      <c r="CI14" s="2">
        <v>0</v>
      </c>
      <c r="CJ14" s="2">
        <v>0</v>
      </c>
      <c r="CK14" s="2">
        <v>0</v>
      </c>
      <c r="CL14" s="2">
        <v>0</v>
      </c>
      <c r="CM14" s="2">
        <v>0.01</v>
      </c>
      <c r="CN14" s="2">
        <v>0</v>
      </c>
      <c r="CO14" s="2">
        <v>0.01</v>
      </c>
      <c r="CP14" s="5">
        <v>2.1228571428571428</v>
      </c>
      <c r="CQ14" s="2">
        <v>0.01</v>
      </c>
      <c r="CR14" s="2">
        <v>0</v>
      </c>
      <c r="CS14" s="2">
        <v>0.01</v>
      </c>
      <c r="CT14" s="5">
        <v>5.1428571428571428E-2</v>
      </c>
      <c r="CU14" s="2">
        <v>0</v>
      </c>
      <c r="CV14" s="2">
        <v>0.01</v>
      </c>
      <c r="CW14" s="5">
        <v>0.32571428571428573</v>
      </c>
      <c r="CX14" s="2">
        <v>0.01</v>
      </c>
      <c r="CY14" s="2">
        <v>0.64</v>
      </c>
      <c r="CZ14" s="2">
        <v>0</v>
      </c>
      <c r="DA14" s="5">
        <v>0.56571428571428573</v>
      </c>
      <c r="DB14" s="2">
        <v>0</v>
      </c>
      <c r="DC14" s="2">
        <v>0</v>
      </c>
      <c r="DD14" s="3">
        <v>2.8571428571428571E-3</v>
      </c>
      <c r="DE14" s="2">
        <v>0</v>
      </c>
      <c r="DF14" s="5">
        <v>1.082857142857143</v>
      </c>
      <c r="DG14" s="2">
        <v>0</v>
      </c>
      <c r="DH14" s="2">
        <v>0</v>
      </c>
      <c r="DI14" s="2">
        <v>0</v>
      </c>
      <c r="DJ14" s="2">
        <v>0</v>
      </c>
      <c r="DK14" s="2">
        <v>0.01</v>
      </c>
      <c r="DL14" s="2">
        <v>0</v>
      </c>
      <c r="DM14" s="5">
        <v>0.3457142857142857</v>
      </c>
      <c r="DN14" s="2">
        <v>0</v>
      </c>
      <c r="DO14" s="2">
        <v>0.01</v>
      </c>
      <c r="DP14" s="5">
        <v>0.10857142857142857</v>
      </c>
      <c r="DQ14" s="5">
        <v>0.52857142857142858</v>
      </c>
      <c r="DR14" s="3">
        <v>2.8571428571428571E-3</v>
      </c>
      <c r="DS14" s="2">
        <v>0</v>
      </c>
      <c r="DT14" s="5">
        <v>2.1828571428571428</v>
      </c>
      <c r="DU14" s="2">
        <v>0.01</v>
      </c>
      <c r="DV14" s="2">
        <v>0</v>
      </c>
      <c r="DW14" s="2">
        <v>0</v>
      </c>
      <c r="DX14" s="2">
        <v>0.01</v>
      </c>
      <c r="DY14" s="5">
        <v>0.50857142857142856</v>
      </c>
      <c r="DZ14" s="2">
        <v>0</v>
      </c>
      <c r="EA14" s="2">
        <v>0</v>
      </c>
      <c r="EB14" s="2">
        <v>0.01</v>
      </c>
      <c r="EC14" s="3">
        <v>2.8571428571428571E-3</v>
      </c>
      <c r="ED14" s="5">
        <v>0.2742857142857143</v>
      </c>
      <c r="EE14" s="2">
        <v>0</v>
      </c>
      <c r="EF14" s="2">
        <v>0</v>
      </c>
      <c r="EG14" s="2">
        <v>0</v>
      </c>
      <c r="EH14" s="2">
        <v>0.01</v>
      </c>
      <c r="EI14" s="2">
        <v>0</v>
      </c>
    </row>
    <row r="15" spans="1:139" x14ac:dyDescent="0.25">
      <c r="A15" s="1" t="s">
        <v>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2.5099999999999998</v>
      </c>
      <c r="H15" s="2">
        <v>0</v>
      </c>
      <c r="I15" s="5">
        <v>1.7999999999999999E-2</v>
      </c>
      <c r="J15" s="5">
        <v>1.6840000000000002</v>
      </c>
      <c r="K15" s="2">
        <v>2E-3</v>
      </c>
      <c r="L15" s="5">
        <v>0.83599999999999997</v>
      </c>
      <c r="M15" s="2">
        <v>0</v>
      </c>
      <c r="N15" s="2">
        <v>0.01</v>
      </c>
      <c r="O15" s="2">
        <v>0</v>
      </c>
      <c r="P15" s="2">
        <v>0</v>
      </c>
      <c r="Q15" s="2">
        <v>0</v>
      </c>
      <c r="R15" s="5">
        <v>2.9280000000000004</v>
      </c>
      <c r="S15" s="5">
        <v>4.4660000000000002</v>
      </c>
      <c r="T15" s="2">
        <v>0</v>
      </c>
      <c r="U15" s="2">
        <v>0</v>
      </c>
      <c r="V15" s="5">
        <v>17.632000000000001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0.15</v>
      </c>
      <c r="AC15" s="5">
        <v>35.845999999999997</v>
      </c>
      <c r="AD15" s="5">
        <v>0.67200000000000004</v>
      </c>
      <c r="AE15" s="5">
        <v>0.27400000000000002</v>
      </c>
      <c r="AF15" s="2">
        <v>0</v>
      </c>
      <c r="AG15" s="2">
        <v>0</v>
      </c>
      <c r="AH15" s="2">
        <v>0</v>
      </c>
      <c r="AI15" s="5">
        <v>0.11599999999999999</v>
      </c>
      <c r="AJ15" s="2">
        <v>0</v>
      </c>
      <c r="AK15" s="2">
        <v>0</v>
      </c>
      <c r="AL15" s="2">
        <v>0</v>
      </c>
      <c r="AM15" s="5">
        <v>0.20400000000000001</v>
      </c>
      <c r="AN15" s="2">
        <v>0</v>
      </c>
      <c r="AO15" s="5">
        <v>0.21399999999999997</v>
      </c>
      <c r="AP15" s="5">
        <v>1.8879999999999999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5">
        <v>7.6000000000000012E-2</v>
      </c>
      <c r="AY15" s="2">
        <v>0</v>
      </c>
      <c r="AZ15" s="2">
        <v>0</v>
      </c>
      <c r="BA15" s="5">
        <v>0.8879999999999999</v>
      </c>
      <c r="BB15" s="2">
        <v>0.02</v>
      </c>
      <c r="BC15" s="2">
        <v>0</v>
      </c>
      <c r="BD15" s="5">
        <v>1.3360000000000001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5">
        <v>0.45400000000000001</v>
      </c>
      <c r="BM15" s="2">
        <v>2E-3</v>
      </c>
      <c r="BN15" s="2">
        <v>0</v>
      </c>
      <c r="BO15" s="2">
        <v>0</v>
      </c>
      <c r="BP15" s="2">
        <v>0.14000000000000001</v>
      </c>
      <c r="BQ15" s="2">
        <v>0</v>
      </c>
      <c r="BR15" s="2">
        <v>0</v>
      </c>
      <c r="BS15" s="2">
        <v>0</v>
      </c>
      <c r="BT15" s="5">
        <v>0.30200000000000005</v>
      </c>
      <c r="BU15" s="2">
        <v>0</v>
      </c>
      <c r="BV15" s="2">
        <v>0</v>
      </c>
      <c r="BW15" s="2">
        <v>0</v>
      </c>
      <c r="BX15" s="2">
        <v>0</v>
      </c>
      <c r="BY15" s="5">
        <v>0.10400000000000001</v>
      </c>
      <c r="BZ15" s="5">
        <v>0.128</v>
      </c>
      <c r="CA15" s="2">
        <v>0</v>
      </c>
      <c r="CB15" s="5">
        <v>0.53200000000000003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5">
        <v>1.7999999999999999E-2</v>
      </c>
      <c r="CU15" s="5">
        <v>0.68600000000000005</v>
      </c>
      <c r="CV15" s="2">
        <v>0</v>
      </c>
      <c r="CW15" s="2">
        <v>0</v>
      </c>
      <c r="CX15" s="2">
        <v>0.2</v>
      </c>
      <c r="CY15" s="5">
        <v>0.246</v>
      </c>
      <c r="CZ15" s="2">
        <v>0</v>
      </c>
      <c r="DA15" s="5">
        <v>3.8000000000000006E-2</v>
      </c>
      <c r="DB15" s="2">
        <v>0</v>
      </c>
      <c r="DC15" s="2">
        <v>0</v>
      </c>
      <c r="DD15" s="2">
        <v>0</v>
      </c>
      <c r="DE15" s="2">
        <v>0</v>
      </c>
      <c r="DF15" s="5">
        <v>1.1140000000000001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5">
        <v>0.10400000000000001</v>
      </c>
      <c r="DN15" s="2">
        <v>0</v>
      </c>
      <c r="DO15" s="2">
        <v>0</v>
      </c>
      <c r="DP15" s="5">
        <v>0.65399999999999991</v>
      </c>
      <c r="DQ15" s="5">
        <v>0.26200000000000001</v>
      </c>
      <c r="DR15" s="5">
        <v>3.4000000000000002E-2</v>
      </c>
      <c r="DS15" s="2">
        <v>0</v>
      </c>
      <c r="DT15" s="5">
        <v>0.63800000000000012</v>
      </c>
      <c r="DU15" s="2">
        <v>0</v>
      </c>
      <c r="DV15" s="2">
        <v>0</v>
      </c>
      <c r="DW15" s="2">
        <v>0</v>
      </c>
      <c r="DX15" s="2">
        <v>0</v>
      </c>
      <c r="DY15" s="5">
        <v>0.46600000000000003</v>
      </c>
      <c r="DZ15" s="2">
        <v>0</v>
      </c>
      <c r="EA15" s="2">
        <v>0</v>
      </c>
      <c r="EB15" s="2">
        <v>0</v>
      </c>
      <c r="EC15" s="5">
        <v>0.128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</row>
    <row r="16" spans="1:139" x14ac:dyDescent="0.25">
      <c r="A16" s="1" t="s">
        <v>7</v>
      </c>
      <c r="B16" s="2">
        <v>0</v>
      </c>
      <c r="C16" s="2">
        <v>3.5</v>
      </c>
      <c r="D16" s="2">
        <v>0.01</v>
      </c>
      <c r="E16" s="2">
        <v>0.01</v>
      </c>
      <c r="F16" s="2">
        <v>0</v>
      </c>
      <c r="G16" s="5">
        <v>2.1080000000000001</v>
      </c>
      <c r="H16" s="2">
        <v>0.01</v>
      </c>
      <c r="I16" s="2">
        <v>0.02</v>
      </c>
      <c r="J16" s="5">
        <v>1.4139999999999999</v>
      </c>
      <c r="K16" s="2">
        <v>0.68</v>
      </c>
      <c r="L16" s="2">
        <v>0.01</v>
      </c>
      <c r="M16" s="2">
        <v>0</v>
      </c>
      <c r="N16" s="2">
        <v>0.76</v>
      </c>
      <c r="O16" s="2">
        <v>0.01</v>
      </c>
      <c r="P16" s="2">
        <v>0</v>
      </c>
      <c r="Q16" s="2">
        <v>0</v>
      </c>
      <c r="R16" s="5">
        <v>0.49600000000000011</v>
      </c>
      <c r="S16" s="5">
        <v>7.5480000000000009</v>
      </c>
      <c r="T16" s="2">
        <v>0.01</v>
      </c>
      <c r="U16" s="2">
        <v>0</v>
      </c>
      <c r="V16" s="2">
        <v>2.0099999999999998</v>
      </c>
      <c r="W16" s="2">
        <v>0</v>
      </c>
      <c r="X16" s="2">
        <v>0.01</v>
      </c>
      <c r="Y16" s="2">
        <v>0</v>
      </c>
      <c r="Z16" s="2">
        <v>0</v>
      </c>
      <c r="AA16" s="2">
        <v>0</v>
      </c>
      <c r="AB16" s="2">
        <v>0</v>
      </c>
      <c r="AC16" s="5">
        <v>6.2940000000000005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0.22</v>
      </c>
      <c r="AN16" s="2">
        <v>0</v>
      </c>
      <c r="AO16" s="2">
        <v>0</v>
      </c>
      <c r="AP16" s="2">
        <v>0.35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1.2</v>
      </c>
      <c r="AY16" s="2">
        <v>0</v>
      </c>
      <c r="AZ16" s="2">
        <v>0.01</v>
      </c>
      <c r="BA16" s="2">
        <v>0</v>
      </c>
      <c r="BB16" s="2">
        <v>0.01</v>
      </c>
      <c r="BC16" s="2">
        <v>1.1599999999999999</v>
      </c>
      <c r="BD16" s="2">
        <v>0.17</v>
      </c>
      <c r="BE16" s="2">
        <v>0.01</v>
      </c>
      <c r="BF16" s="2">
        <v>0.01</v>
      </c>
      <c r="BG16" s="2">
        <v>0.01</v>
      </c>
      <c r="BH16" s="2">
        <v>0</v>
      </c>
      <c r="BI16" s="2">
        <v>0.01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0.01</v>
      </c>
      <c r="BT16" s="2">
        <v>0.01</v>
      </c>
      <c r="BU16" s="2">
        <v>0</v>
      </c>
      <c r="BV16" s="2">
        <v>0</v>
      </c>
      <c r="BW16" s="2">
        <v>0</v>
      </c>
      <c r="BX16" s="2">
        <v>0</v>
      </c>
      <c r="BY16" s="2">
        <v>0.26</v>
      </c>
      <c r="BZ16" s="2">
        <v>0</v>
      </c>
      <c r="CA16" s="2">
        <v>0</v>
      </c>
      <c r="CB16" s="5">
        <v>0.43600000000000005</v>
      </c>
      <c r="CC16" s="2">
        <v>0</v>
      </c>
      <c r="CD16" s="2">
        <v>0.4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0.01</v>
      </c>
      <c r="CV16" s="2">
        <v>0.01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0.01</v>
      </c>
      <c r="DD16" s="2">
        <v>0</v>
      </c>
      <c r="DE16" s="2">
        <v>0</v>
      </c>
      <c r="DF16" s="2">
        <v>0.54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0.01</v>
      </c>
      <c r="DO16" s="2">
        <v>0</v>
      </c>
      <c r="DP16" s="2">
        <v>0.64</v>
      </c>
      <c r="DQ16" s="2">
        <v>0</v>
      </c>
      <c r="DR16" s="2">
        <v>0.2</v>
      </c>
      <c r="DS16" s="2">
        <v>0</v>
      </c>
      <c r="DT16" s="2">
        <v>0.01</v>
      </c>
      <c r="DU16" s="2">
        <v>0</v>
      </c>
      <c r="DV16" s="2">
        <v>0</v>
      </c>
      <c r="DW16" s="2">
        <v>0.01</v>
      </c>
      <c r="DX16" s="2">
        <v>0</v>
      </c>
      <c r="DY16" s="2">
        <v>0.4</v>
      </c>
      <c r="DZ16" s="2">
        <v>0</v>
      </c>
      <c r="EA16" s="2">
        <v>0</v>
      </c>
      <c r="EB16" s="2">
        <v>0.01</v>
      </c>
      <c r="EC16" s="2">
        <v>0.1</v>
      </c>
      <c r="ED16" s="2">
        <v>0.01</v>
      </c>
      <c r="EE16" s="2">
        <v>0</v>
      </c>
      <c r="EF16" s="2">
        <v>0</v>
      </c>
      <c r="EG16" s="2">
        <v>0</v>
      </c>
      <c r="EH16" s="2">
        <v>0.01</v>
      </c>
      <c r="EI16" s="2">
        <v>0</v>
      </c>
    </row>
    <row r="17" spans="1:139" x14ac:dyDescent="0.25">
      <c r="A17" s="1" t="s">
        <v>8</v>
      </c>
      <c r="B17" s="2">
        <v>0</v>
      </c>
      <c r="C17" s="5">
        <v>8.3040000000000003</v>
      </c>
      <c r="D17" s="2">
        <v>0</v>
      </c>
      <c r="E17" s="2">
        <v>0</v>
      </c>
      <c r="F17" s="2">
        <v>0</v>
      </c>
      <c r="G17" s="2">
        <v>0.01</v>
      </c>
      <c r="H17" s="2">
        <v>0</v>
      </c>
      <c r="I17" s="2">
        <v>0</v>
      </c>
      <c r="J17" s="5">
        <v>0.94399999999999995</v>
      </c>
      <c r="K17" s="2">
        <v>0</v>
      </c>
      <c r="L17" s="2">
        <v>0</v>
      </c>
      <c r="M17" s="2">
        <v>0</v>
      </c>
      <c r="N17" s="2">
        <v>0.01</v>
      </c>
      <c r="O17" s="2">
        <v>0.01</v>
      </c>
      <c r="P17" s="2">
        <v>0.04</v>
      </c>
      <c r="Q17" s="2">
        <v>0</v>
      </c>
      <c r="R17" s="2">
        <v>0.08</v>
      </c>
      <c r="S17" s="5">
        <v>0.752</v>
      </c>
      <c r="T17" s="2">
        <v>0</v>
      </c>
      <c r="U17" s="2">
        <v>0</v>
      </c>
      <c r="V17" s="5">
        <v>2.9896000000000003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12.76</v>
      </c>
      <c r="AC17" s="5">
        <v>21.384</v>
      </c>
      <c r="AD17" s="2">
        <v>0.01</v>
      </c>
      <c r="AE17" s="5">
        <v>1.552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0.01</v>
      </c>
      <c r="AN17" s="2">
        <v>0.01</v>
      </c>
      <c r="AO17" s="2">
        <v>0</v>
      </c>
      <c r="AP17" s="2">
        <v>0.01</v>
      </c>
      <c r="AQ17" s="2">
        <v>0</v>
      </c>
      <c r="AR17" s="2">
        <v>0.01</v>
      </c>
      <c r="AS17" s="2">
        <v>0</v>
      </c>
      <c r="AT17" s="2">
        <v>0</v>
      </c>
      <c r="AU17" s="2">
        <v>0.76</v>
      </c>
      <c r="AV17" s="2">
        <v>0</v>
      </c>
      <c r="AW17" s="2">
        <v>0.04</v>
      </c>
      <c r="AX17" s="5">
        <v>1.2352000000000001</v>
      </c>
      <c r="AY17" s="2">
        <v>0</v>
      </c>
      <c r="AZ17" s="2">
        <v>0</v>
      </c>
      <c r="BA17" s="2">
        <v>0</v>
      </c>
      <c r="BB17" s="2">
        <v>0</v>
      </c>
      <c r="BC17" s="2">
        <v>0.01</v>
      </c>
      <c r="BD17" s="2">
        <v>0.01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0.01</v>
      </c>
      <c r="BN17" s="2">
        <v>0</v>
      </c>
      <c r="BO17" s="2">
        <v>0</v>
      </c>
      <c r="BP17" s="2">
        <v>0</v>
      </c>
      <c r="BQ17" s="2">
        <v>0</v>
      </c>
      <c r="BR17" s="2">
        <v>0.01</v>
      </c>
      <c r="BS17" s="2">
        <v>0</v>
      </c>
      <c r="BT17" s="2">
        <v>0.01</v>
      </c>
      <c r="BU17" s="2">
        <v>0</v>
      </c>
      <c r="BV17" s="2">
        <v>0</v>
      </c>
      <c r="BW17" s="2">
        <v>0</v>
      </c>
      <c r="BX17" s="2">
        <v>0</v>
      </c>
      <c r="BY17" s="2">
        <v>0.04</v>
      </c>
      <c r="BZ17" s="2">
        <v>0.12</v>
      </c>
      <c r="CA17" s="5">
        <v>1.6E-2</v>
      </c>
      <c r="CB17" s="2">
        <v>0.01</v>
      </c>
      <c r="CC17" s="5">
        <v>0.31199999999999994</v>
      </c>
      <c r="CD17" s="2">
        <v>0</v>
      </c>
      <c r="CE17" s="2">
        <v>0.01</v>
      </c>
      <c r="CF17" s="2">
        <v>0</v>
      </c>
      <c r="CG17" s="5">
        <v>1.1680000000000001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0.01</v>
      </c>
      <c r="CT17" s="2">
        <v>0.01</v>
      </c>
      <c r="CU17" s="2">
        <v>0</v>
      </c>
      <c r="CV17" s="2">
        <v>0</v>
      </c>
      <c r="CW17" s="2">
        <v>0.01</v>
      </c>
      <c r="CX17" s="2">
        <v>0.01</v>
      </c>
      <c r="CY17" s="5">
        <v>0.98399999999999999</v>
      </c>
      <c r="CZ17" s="2">
        <v>0</v>
      </c>
      <c r="DA17" s="2">
        <v>0</v>
      </c>
      <c r="DB17" s="2">
        <v>0</v>
      </c>
      <c r="DC17" s="2">
        <v>0</v>
      </c>
      <c r="DD17" s="2">
        <v>0.01</v>
      </c>
      <c r="DE17" s="2">
        <v>0.01</v>
      </c>
      <c r="DF17" s="5">
        <v>1.4319999999999999</v>
      </c>
      <c r="DG17" s="2">
        <v>0</v>
      </c>
      <c r="DH17" s="2">
        <v>0.01</v>
      </c>
      <c r="DI17" s="2">
        <v>0</v>
      </c>
      <c r="DJ17" s="2">
        <v>0</v>
      </c>
      <c r="DK17" s="2">
        <v>0.01</v>
      </c>
      <c r="DL17" s="2">
        <v>0</v>
      </c>
      <c r="DM17" s="2">
        <v>0</v>
      </c>
      <c r="DN17" s="2">
        <v>0</v>
      </c>
      <c r="DO17" s="2">
        <v>0</v>
      </c>
      <c r="DP17" s="5">
        <v>2.1567999999999996</v>
      </c>
      <c r="DQ17" s="2">
        <v>0</v>
      </c>
      <c r="DR17" s="2">
        <v>0.01</v>
      </c>
      <c r="DS17" s="2">
        <v>0</v>
      </c>
      <c r="DT17" s="2">
        <v>0.01</v>
      </c>
      <c r="DU17" s="2">
        <v>0</v>
      </c>
      <c r="DV17" s="2">
        <v>0</v>
      </c>
      <c r="DW17" s="2">
        <v>0</v>
      </c>
      <c r="DX17" s="2">
        <v>0</v>
      </c>
      <c r="DY17" s="5">
        <v>0.35199999999999998</v>
      </c>
      <c r="DZ17" s="2">
        <v>0.01</v>
      </c>
      <c r="EA17" s="2">
        <v>0</v>
      </c>
      <c r="EB17" s="2">
        <v>0</v>
      </c>
      <c r="EC17" s="2">
        <v>0.01</v>
      </c>
      <c r="ED17" s="2">
        <v>0</v>
      </c>
      <c r="EE17" s="2">
        <v>0</v>
      </c>
      <c r="EF17" s="2">
        <v>0</v>
      </c>
      <c r="EG17" s="2">
        <v>0</v>
      </c>
      <c r="EH17" s="2">
        <v>0.01</v>
      </c>
      <c r="EI17" s="2">
        <v>0</v>
      </c>
    </row>
    <row r="18" spans="1:139" x14ac:dyDescent="0.25">
      <c r="A18" s="1" t="s">
        <v>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5">
        <v>0.28799999999999998</v>
      </c>
      <c r="H18" s="2">
        <v>0</v>
      </c>
      <c r="I18" s="2">
        <v>0.01</v>
      </c>
      <c r="J18" s="5">
        <v>1.1919999999999999</v>
      </c>
      <c r="K18" s="2">
        <v>0.01</v>
      </c>
      <c r="L18" s="2">
        <v>0</v>
      </c>
      <c r="M18" s="2">
        <v>0</v>
      </c>
      <c r="N18" s="5">
        <v>8.0000000000000002E-3</v>
      </c>
      <c r="O18" s="2">
        <v>0</v>
      </c>
      <c r="P18" s="5">
        <v>0.33599999999999997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5">
        <v>17.791999999999998</v>
      </c>
      <c r="W18" s="5">
        <v>14.472</v>
      </c>
      <c r="X18" s="2">
        <v>0</v>
      </c>
      <c r="Y18" s="2">
        <v>0</v>
      </c>
      <c r="Z18" s="2">
        <v>5.56</v>
      </c>
      <c r="AA18" s="2">
        <v>0</v>
      </c>
      <c r="AB18" s="2">
        <v>0.01</v>
      </c>
      <c r="AC18" s="2">
        <v>0.01</v>
      </c>
      <c r="AD18" s="2">
        <v>0.01</v>
      </c>
      <c r="AE18" s="2">
        <v>0</v>
      </c>
      <c r="AF18" s="2">
        <v>0</v>
      </c>
      <c r="AG18" s="2">
        <v>0</v>
      </c>
      <c r="AH18" s="2">
        <v>0</v>
      </c>
      <c r="AI18" s="2">
        <v>2.04</v>
      </c>
      <c r="AJ18" s="2">
        <v>0.01</v>
      </c>
      <c r="AK18" s="2">
        <v>0</v>
      </c>
      <c r="AL18" s="2">
        <v>0.01</v>
      </c>
      <c r="AM18" s="5">
        <v>0.40800000000000003</v>
      </c>
      <c r="AN18" s="2">
        <v>0</v>
      </c>
      <c r="AO18" s="5">
        <v>0.60799999999999998</v>
      </c>
      <c r="AP18" s="2">
        <v>0</v>
      </c>
      <c r="AQ18" s="2">
        <v>0</v>
      </c>
      <c r="AR18" s="2">
        <v>0</v>
      </c>
      <c r="AS18" s="2">
        <v>0</v>
      </c>
      <c r="AT18" s="2">
        <v>0.01</v>
      </c>
      <c r="AU18" s="2">
        <v>0.01</v>
      </c>
      <c r="AV18" s="2">
        <v>0.01</v>
      </c>
      <c r="AW18" s="5">
        <v>13.008000000000001</v>
      </c>
      <c r="AX18" s="2">
        <v>0</v>
      </c>
      <c r="AY18" s="2">
        <v>0</v>
      </c>
      <c r="AZ18" s="2">
        <v>0</v>
      </c>
      <c r="BA18" s="2">
        <v>1.04</v>
      </c>
      <c r="BB18" s="2">
        <v>0</v>
      </c>
      <c r="BC18" s="5">
        <v>1.232</v>
      </c>
      <c r="BD18" s="2">
        <v>16.28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5">
        <v>8.0560000000000009</v>
      </c>
      <c r="BP18" s="2">
        <v>0</v>
      </c>
      <c r="BQ18" s="2">
        <v>0.01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0.04</v>
      </c>
      <c r="BZ18" s="2">
        <v>0</v>
      </c>
      <c r="CA18" s="2">
        <v>0.01</v>
      </c>
      <c r="CB18" s="2">
        <v>0.04</v>
      </c>
      <c r="CC18" s="2">
        <v>0.01</v>
      </c>
      <c r="CD18" s="2">
        <v>0</v>
      </c>
      <c r="CE18" s="2">
        <v>0.01</v>
      </c>
      <c r="CF18" s="2">
        <v>0.01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5">
        <v>11.632</v>
      </c>
      <c r="CU18" s="2">
        <v>0.01</v>
      </c>
      <c r="CV18" s="2">
        <v>0</v>
      </c>
      <c r="CW18" s="2">
        <v>0.01</v>
      </c>
      <c r="CX18" s="2">
        <v>0</v>
      </c>
      <c r="CY18" s="2">
        <v>0.56000000000000005</v>
      </c>
      <c r="CZ18" s="2">
        <v>0</v>
      </c>
      <c r="DA18" s="2">
        <v>1.48</v>
      </c>
      <c r="DB18" s="2">
        <v>0</v>
      </c>
      <c r="DC18" s="2">
        <v>0</v>
      </c>
      <c r="DD18" s="2">
        <v>0.01</v>
      </c>
      <c r="DE18" s="2">
        <v>0</v>
      </c>
      <c r="DF18" s="2">
        <v>0</v>
      </c>
      <c r="DG18" s="2">
        <v>0</v>
      </c>
      <c r="DH18" s="2">
        <v>0.01</v>
      </c>
      <c r="DI18" s="2">
        <v>0.01</v>
      </c>
      <c r="DJ18" s="2">
        <v>0</v>
      </c>
      <c r="DK18" s="2">
        <v>0</v>
      </c>
      <c r="DL18" s="2">
        <v>0.01</v>
      </c>
      <c r="DM18" s="2">
        <v>0</v>
      </c>
      <c r="DN18" s="2">
        <v>0.2</v>
      </c>
      <c r="DO18" s="2">
        <v>0.01</v>
      </c>
      <c r="DP18" s="2">
        <v>0.24</v>
      </c>
      <c r="DQ18" s="2">
        <v>0</v>
      </c>
      <c r="DR18" s="2">
        <v>0</v>
      </c>
      <c r="DS18" s="2">
        <v>0</v>
      </c>
      <c r="DT18" s="2">
        <v>0.01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0.04</v>
      </c>
      <c r="ED18" s="2">
        <v>0</v>
      </c>
      <c r="EE18" s="2">
        <v>0</v>
      </c>
      <c r="EF18" s="2">
        <v>0</v>
      </c>
      <c r="EG18" s="2">
        <v>0</v>
      </c>
      <c r="EH18" s="2">
        <v>0.01</v>
      </c>
      <c r="EI18" s="2">
        <v>0</v>
      </c>
    </row>
    <row r="19" spans="1:139" x14ac:dyDescent="0.25">
      <c r="A19" s="1" t="s">
        <v>10</v>
      </c>
      <c r="B19" s="2">
        <v>0</v>
      </c>
      <c r="C19" s="2">
        <v>6.9</v>
      </c>
      <c r="D19" s="2">
        <v>0</v>
      </c>
      <c r="E19" s="2">
        <v>0</v>
      </c>
      <c r="F19" s="2">
        <v>0</v>
      </c>
      <c r="G19" s="2">
        <v>1.28</v>
      </c>
      <c r="H19" s="2">
        <v>0</v>
      </c>
      <c r="I19" s="2">
        <v>0</v>
      </c>
      <c r="J19" s="2">
        <v>1.38</v>
      </c>
      <c r="K19" s="2">
        <v>0.66</v>
      </c>
      <c r="L19" s="2">
        <v>0</v>
      </c>
      <c r="M19" s="2">
        <v>0</v>
      </c>
      <c r="N19" s="2">
        <v>0.16</v>
      </c>
      <c r="O19" s="2">
        <v>0</v>
      </c>
      <c r="P19" s="2">
        <v>0.36</v>
      </c>
      <c r="Q19" s="2">
        <v>0</v>
      </c>
      <c r="R19" s="2">
        <v>1.64</v>
      </c>
      <c r="S19" s="2">
        <v>9.92</v>
      </c>
      <c r="T19" s="2">
        <v>0</v>
      </c>
      <c r="U19" s="2">
        <v>0</v>
      </c>
      <c r="V19" s="2">
        <v>18.2</v>
      </c>
      <c r="W19" s="2">
        <v>2.4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4.8600000000000003</v>
      </c>
      <c r="AD19" s="2">
        <v>0</v>
      </c>
      <c r="AE19" s="2">
        <v>0.28000000000000003</v>
      </c>
      <c r="AF19" s="2">
        <v>0</v>
      </c>
      <c r="AG19" s="2">
        <v>0.01</v>
      </c>
      <c r="AH19" s="2">
        <v>0</v>
      </c>
      <c r="AI19" s="2">
        <v>2.34</v>
      </c>
      <c r="AJ19" s="2">
        <v>0</v>
      </c>
      <c r="AK19" s="2">
        <v>0</v>
      </c>
      <c r="AL19" s="2">
        <v>0</v>
      </c>
      <c r="AM19" s="2">
        <v>1.36</v>
      </c>
      <c r="AN19" s="2">
        <v>0.01</v>
      </c>
      <c r="AO19" s="2">
        <v>1.1599999999999999</v>
      </c>
      <c r="AP19" s="2">
        <v>0.6</v>
      </c>
      <c r="AQ19" s="2">
        <v>0</v>
      </c>
      <c r="AR19" s="2">
        <v>0</v>
      </c>
      <c r="AS19" s="2">
        <v>0.66</v>
      </c>
      <c r="AT19" s="2">
        <v>0</v>
      </c>
      <c r="AU19" s="2">
        <v>0.45</v>
      </c>
      <c r="AV19" s="2">
        <v>0</v>
      </c>
      <c r="AW19" s="2">
        <v>2.2999999999999998</v>
      </c>
      <c r="AX19" s="2">
        <v>0</v>
      </c>
      <c r="AY19" s="2">
        <v>0</v>
      </c>
      <c r="AZ19" s="2">
        <v>0</v>
      </c>
      <c r="BA19" s="2">
        <v>0.4</v>
      </c>
      <c r="BB19" s="2">
        <v>0.01</v>
      </c>
      <c r="BC19" s="2">
        <v>1.42</v>
      </c>
      <c r="BD19" s="2">
        <v>3.14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0.72</v>
      </c>
      <c r="BM19" s="2">
        <v>0.01</v>
      </c>
      <c r="BN19" s="2">
        <v>0</v>
      </c>
      <c r="BO19" s="2">
        <v>0</v>
      </c>
      <c r="BP19" s="2">
        <v>0</v>
      </c>
      <c r="BQ19" s="2">
        <v>0</v>
      </c>
      <c r="BR19" s="2">
        <v>1.016</v>
      </c>
      <c r="BS19" s="2">
        <v>0</v>
      </c>
      <c r="BT19" s="2">
        <v>0.92</v>
      </c>
      <c r="BU19" s="2">
        <v>0</v>
      </c>
      <c r="BV19" s="2">
        <v>0</v>
      </c>
      <c r="BW19" s="2">
        <v>0.24</v>
      </c>
      <c r="BX19" s="2">
        <v>0</v>
      </c>
      <c r="BY19" s="2">
        <v>0.06</v>
      </c>
      <c r="BZ19" s="2">
        <v>0</v>
      </c>
      <c r="CA19" s="2">
        <v>0.01</v>
      </c>
      <c r="CB19" s="2">
        <v>0.26</v>
      </c>
      <c r="CC19" s="2">
        <v>1.66</v>
      </c>
      <c r="CD19" s="2">
        <v>0</v>
      </c>
      <c r="CE19" s="2">
        <v>0.88</v>
      </c>
      <c r="CF19" s="2">
        <v>0.01</v>
      </c>
      <c r="CG19" s="2">
        <v>0</v>
      </c>
      <c r="CH19" s="2">
        <v>0.26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2.68</v>
      </c>
      <c r="CU19" s="2">
        <v>0.52</v>
      </c>
      <c r="CV19" s="2">
        <v>0.06</v>
      </c>
      <c r="CW19" s="2">
        <v>0</v>
      </c>
      <c r="CX19" s="5">
        <v>0.20400000000000001</v>
      </c>
      <c r="CY19" s="2">
        <v>3.84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1.36</v>
      </c>
      <c r="DG19" s="2">
        <v>0</v>
      </c>
      <c r="DH19" s="2">
        <v>0.76</v>
      </c>
      <c r="DI19" s="2">
        <v>0</v>
      </c>
      <c r="DJ19" s="2">
        <v>0</v>
      </c>
      <c r="DK19" s="2">
        <v>0.42</v>
      </c>
      <c r="DL19" s="2">
        <v>0</v>
      </c>
      <c r="DM19" s="2">
        <v>0</v>
      </c>
      <c r="DN19" s="2">
        <v>3.5</v>
      </c>
      <c r="DO19" s="2">
        <v>0</v>
      </c>
      <c r="DP19" s="2">
        <v>1.3</v>
      </c>
      <c r="DQ19" s="2">
        <v>2.92</v>
      </c>
      <c r="DR19" s="2">
        <v>0.16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0.04</v>
      </c>
      <c r="EC19" s="2">
        <v>0.04</v>
      </c>
      <c r="ED19" s="2">
        <v>0.01</v>
      </c>
      <c r="EE19" s="2">
        <v>0</v>
      </c>
      <c r="EF19" s="2">
        <v>0</v>
      </c>
      <c r="EG19" s="2">
        <v>0</v>
      </c>
      <c r="EH19" s="2">
        <v>0.01</v>
      </c>
      <c r="EI19" s="2">
        <v>0</v>
      </c>
    </row>
    <row r="20" spans="1:139" x14ac:dyDescent="0.25">
      <c r="A20" s="1" t="s">
        <v>11</v>
      </c>
      <c r="B20" s="2">
        <v>0</v>
      </c>
      <c r="C20" s="5">
        <v>32.984999999999999</v>
      </c>
      <c r="D20" s="2">
        <v>0</v>
      </c>
      <c r="E20" s="2">
        <v>0</v>
      </c>
      <c r="F20" s="2">
        <v>0</v>
      </c>
      <c r="G20" s="5">
        <v>9.0250000000000004</v>
      </c>
      <c r="H20" s="2">
        <v>0</v>
      </c>
      <c r="I20" s="2">
        <v>0</v>
      </c>
      <c r="J20" s="2">
        <v>0.26</v>
      </c>
      <c r="K20" s="2">
        <v>0</v>
      </c>
      <c r="L20" s="2">
        <v>0.01</v>
      </c>
      <c r="M20" s="2">
        <v>0</v>
      </c>
      <c r="N20" s="5">
        <v>0.23749999999999999</v>
      </c>
      <c r="O20" s="5">
        <v>0.76249999999999996</v>
      </c>
      <c r="P20" s="5">
        <v>2.9849999999999999</v>
      </c>
      <c r="Q20" s="2">
        <v>0</v>
      </c>
      <c r="R20" s="2">
        <v>0</v>
      </c>
      <c r="S20" s="5">
        <v>1.165</v>
      </c>
      <c r="T20" s="2">
        <v>0</v>
      </c>
      <c r="U20" s="2">
        <v>0</v>
      </c>
      <c r="V20" s="5">
        <v>3.97</v>
      </c>
      <c r="W20" s="2">
        <v>0</v>
      </c>
      <c r="X20" s="5">
        <v>1.905</v>
      </c>
      <c r="Y20" s="2">
        <v>0.01</v>
      </c>
      <c r="Z20" s="2">
        <v>0</v>
      </c>
      <c r="AA20" s="2">
        <v>0</v>
      </c>
      <c r="AB20" s="2">
        <v>0</v>
      </c>
      <c r="AC20" s="5">
        <v>6.6425000000000001</v>
      </c>
      <c r="AD20" s="2">
        <v>0</v>
      </c>
      <c r="AE20" s="2">
        <v>0.01</v>
      </c>
      <c r="AF20" s="2">
        <v>0</v>
      </c>
      <c r="AG20" s="2">
        <v>0.01</v>
      </c>
      <c r="AH20" s="2">
        <v>0</v>
      </c>
      <c r="AI20" s="5">
        <v>4.2750000000000004</v>
      </c>
      <c r="AJ20" s="5">
        <v>3.8075000000000001</v>
      </c>
      <c r="AK20" s="2">
        <v>9.56</v>
      </c>
      <c r="AL20" s="2">
        <v>0</v>
      </c>
      <c r="AM20" s="5">
        <v>0.5675</v>
      </c>
      <c r="AN20" s="2">
        <v>0</v>
      </c>
      <c r="AO20" s="2">
        <v>0</v>
      </c>
      <c r="AP20" s="2">
        <v>0.01</v>
      </c>
      <c r="AQ20" s="2">
        <v>0</v>
      </c>
      <c r="AR20" s="2">
        <v>0.01</v>
      </c>
      <c r="AS20" s="5">
        <v>10.6775</v>
      </c>
      <c r="AT20" s="2">
        <v>0</v>
      </c>
      <c r="AU20" s="2">
        <v>0.01</v>
      </c>
      <c r="AV20" s="2">
        <v>0</v>
      </c>
      <c r="AW20" s="2">
        <v>0.5</v>
      </c>
      <c r="AX20" s="2">
        <v>0.01</v>
      </c>
      <c r="AY20" s="2">
        <v>0</v>
      </c>
      <c r="AZ20" s="2">
        <v>0</v>
      </c>
      <c r="BA20" s="2">
        <v>0</v>
      </c>
      <c r="BB20" s="2">
        <v>0</v>
      </c>
      <c r="BC20" s="5">
        <v>0.60750000000000004</v>
      </c>
      <c r="BD20" s="5">
        <v>9.4075000000000006</v>
      </c>
      <c r="BE20" s="2">
        <v>0</v>
      </c>
      <c r="BF20" s="2">
        <v>0.05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0.01</v>
      </c>
      <c r="BM20" s="2">
        <v>0</v>
      </c>
      <c r="BN20" s="2">
        <v>1.1100000000000001</v>
      </c>
      <c r="BO20" s="2">
        <v>0</v>
      </c>
      <c r="BP20" s="2">
        <v>0</v>
      </c>
      <c r="BQ20" s="2">
        <v>0</v>
      </c>
      <c r="BR20" s="2">
        <v>0.01</v>
      </c>
      <c r="BS20" s="2">
        <v>0</v>
      </c>
      <c r="BT20" s="5">
        <v>1.0175000000000001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5">
        <v>2.5000000000000001E-2</v>
      </c>
      <c r="CA20" s="2">
        <v>0</v>
      </c>
      <c r="CB20" s="5">
        <v>0.29749999999999999</v>
      </c>
      <c r="CC20" s="2">
        <v>0.01</v>
      </c>
      <c r="CD20" s="2">
        <v>0</v>
      </c>
      <c r="CE20" s="5">
        <v>0.97</v>
      </c>
      <c r="CF20" s="2">
        <v>0.01</v>
      </c>
      <c r="CG20" s="5">
        <v>2.5000000000000001E-2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0.01</v>
      </c>
      <c r="CX20" s="2">
        <v>0.01</v>
      </c>
      <c r="CY20" s="5">
        <v>3.5449999999999999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5">
        <v>1.7500000000000002E-2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0.01</v>
      </c>
      <c r="DM20" s="2">
        <v>0</v>
      </c>
      <c r="DN20" s="5">
        <v>30.175000000000001</v>
      </c>
      <c r="DO20" s="5">
        <v>10.592499999999999</v>
      </c>
      <c r="DP20" s="5">
        <v>1.0549999999999999</v>
      </c>
      <c r="DQ20" s="2">
        <v>0</v>
      </c>
      <c r="DR20" s="2">
        <v>0.01</v>
      </c>
      <c r="DS20" s="2">
        <v>0</v>
      </c>
      <c r="DT20" s="2">
        <v>0</v>
      </c>
      <c r="DU20" s="2">
        <v>0</v>
      </c>
      <c r="DV20" s="2">
        <v>0</v>
      </c>
      <c r="DW20" s="2">
        <v>0.01</v>
      </c>
      <c r="DX20" s="2">
        <v>0.01</v>
      </c>
      <c r="DY20" s="2">
        <v>0.01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0.18</v>
      </c>
      <c r="EF20" s="2">
        <v>0</v>
      </c>
      <c r="EG20" s="2">
        <v>0</v>
      </c>
      <c r="EH20" s="2">
        <v>0.01</v>
      </c>
      <c r="EI20" s="2">
        <v>0</v>
      </c>
    </row>
    <row r="21" spans="1:139" x14ac:dyDescent="0.25">
      <c r="A21" s="1" t="s">
        <v>12</v>
      </c>
      <c r="B21" s="2">
        <v>0</v>
      </c>
      <c r="C21" s="2">
        <v>32.44</v>
      </c>
      <c r="D21" s="2">
        <v>0</v>
      </c>
      <c r="E21" s="2">
        <v>0</v>
      </c>
      <c r="F21" s="2">
        <v>0</v>
      </c>
      <c r="G21" s="2">
        <v>7.08</v>
      </c>
      <c r="H21" s="2">
        <v>0</v>
      </c>
      <c r="I21" s="2">
        <v>0</v>
      </c>
      <c r="J21" s="5">
        <v>0.94399999999999995</v>
      </c>
      <c r="K21" s="2">
        <v>0.01</v>
      </c>
      <c r="L21" s="2">
        <v>0.01</v>
      </c>
      <c r="M21" s="2">
        <v>0</v>
      </c>
      <c r="N21" s="5">
        <v>7.1999999999999995E-2</v>
      </c>
      <c r="O21" s="2">
        <v>0</v>
      </c>
      <c r="P21" s="2">
        <v>0</v>
      </c>
      <c r="Q21" s="2">
        <v>0</v>
      </c>
      <c r="R21" s="2">
        <v>0</v>
      </c>
      <c r="S21" s="5">
        <v>0.48</v>
      </c>
      <c r="T21" s="2">
        <v>0.01</v>
      </c>
      <c r="U21" s="2">
        <v>0.01</v>
      </c>
      <c r="V21" s="5">
        <v>22.824000000000002</v>
      </c>
      <c r="W21" s="2">
        <v>19.68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2.12</v>
      </c>
      <c r="AD21" s="2">
        <v>0</v>
      </c>
      <c r="AE21" s="5">
        <v>0.16800000000000001</v>
      </c>
      <c r="AF21" s="2">
        <v>0</v>
      </c>
      <c r="AG21" s="2">
        <v>0.01</v>
      </c>
      <c r="AH21" s="2">
        <v>0</v>
      </c>
      <c r="AI21" s="5">
        <v>14.975999999999999</v>
      </c>
      <c r="AJ21" s="5">
        <v>0.28799999999999998</v>
      </c>
      <c r="AK21" s="2">
        <v>0</v>
      </c>
      <c r="AL21" s="2">
        <v>0</v>
      </c>
      <c r="AM21" s="5">
        <v>8.8079999999999998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0.01</v>
      </c>
      <c r="AU21" s="2">
        <v>0</v>
      </c>
      <c r="AV21" s="2">
        <v>0</v>
      </c>
      <c r="AW21" s="2">
        <v>5.0720000000000001</v>
      </c>
      <c r="AX21" s="2">
        <v>0</v>
      </c>
      <c r="AY21" s="2">
        <v>0</v>
      </c>
      <c r="AZ21" s="2">
        <v>0</v>
      </c>
      <c r="BA21" s="2">
        <v>0.01</v>
      </c>
      <c r="BB21" s="2">
        <v>0</v>
      </c>
      <c r="BC21" s="5">
        <v>18.920000000000002</v>
      </c>
      <c r="BD21" s="5">
        <v>22.16</v>
      </c>
      <c r="BE21" s="2">
        <v>0</v>
      </c>
      <c r="BF21" s="5">
        <v>0.99199999999999999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3.6</v>
      </c>
      <c r="BO21" s="2">
        <v>0</v>
      </c>
      <c r="BP21" s="2">
        <v>0</v>
      </c>
      <c r="BQ21" s="2">
        <v>0</v>
      </c>
      <c r="BR21" s="5">
        <v>0.78400000000000003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0.01</v>
      </c>
      <c r="CB21" s="2">
        <v>0</v>
      </c>
      <c r="CC21" s="5">
        <v>6.5119999999999987</v>
      </c>
      <c r="CD21" s="2">
        <v>0</v>
      </c>
      <c r="CE21" s="5">
        <v>0.88800000000000012</v>
      </c>
      <c r="CF21" s="2">
        <v>0.01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5">
        <v>13.136000000000001</v>
      </c>
      <c r="CU21" s="2">
        <v>0</v>
      </c>
      <c r="CV21" s="2">
        <v>0.01</v>
      </c>
      <c r="CW21" s="2">
        <v>0.01</v>
      </c>
      <c r="CX21" s="2">
        <v>1.056</v>
      </c>
      <c r="CY21" s="5">
        <v>3.5759999999999996</v>
      </c>
      <c r="CZ21" s="2">
        <v>0</v>
      </c>
      <c r="DA21" s="2">
        <v>0</v>
      </c>
      <c r="DB21" s="2">
        <v>0</v>
      </c>
      <c r="DC21" s="2">
        <v>0</v>
      </c>
      <c r="DD21" s="2">
        <v>0.01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5">
        <v>2.1440000000000001</v>
      </c>
      <c r="DL21" s="2">
        <v>0</v>
      </c>
      <c r="DM21" s="2">
        <v>0</v>
      </c>
      <c r="DN21" s="5">
        <v>22.887999999999998</v>
      </c>
      <c r="DO21" s="5">
        <v>1.544</v>
      </c>
      <c r="DP21" s="5">
        <v>3.3952</v>
      </c>
      <c r="DQ21" s="2">
        <v>0.4</v>
      </c>
      <c r="DR21" s="2">
        <v>0</v>
      </c>
      <c r="DS21" s="2">
        <v>0</v>
      </c>
      <c r="DT21" s="2">
        <v>0</v>
      </c>
      <c r="DU21" s="2">
        <v>13.68</v>
      </c>
      <c r="DV21" s="2">
        <v>0</v>
      </c>
      <c r="DW21" s="5">
        <v>0.92800000000000016</v>
      </c>
      <c r="DX21" s="2">
        <v>0.01</v>
      </c>
      <c r="DY21" s="5">
        <v>1.264</v>
      </c>
      <c r="DZ21" s="2">
        <v>0</v>
      </c>
      <c r="EA21" s="2">
        <v>0</v>
      </c>
      <c r="EB21" s="5">
        <v>7.1999999999999995E-2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0.01</v>
      </c>
      <c r="EI2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2019-11-21T06:15:24Z</dcterms:created>
  <dcterms:modified xsi:type="dcterms:W3CDTF">2019-11-22T10:56:49Z</dcterms:modified>
</cp:coreProperties>
</file>